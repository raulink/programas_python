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yectos\Python\programas_python\automatizarWordPy\"/>
    </mc:Choice>
  </mc:AlternateContent>
  <xr:revisionPtr revIDLastSave="0" documentId="13_ncr:1_{78FC96C5-C51F-4CD0-8B82-9BD3D1B309CF}" xr6:coauthVersionLast="47" xr6:coauthVersionMax="47" xr10:uidLastSave="{00000000-0000-0000-0000-000000000000}"/>
  <bookViews>
    <workbookView xWindow="-28920" yWindow="-120" windowWidth="29040" windowHeight="15720" tabRatio="500" activeTab="3" xr2:uid="{00000000-000D-0000-FFFF-FFFF00000000}"/>
  </bookViews>
  <sheets>
    <sheet name="PANEL" sheetId="1" r:id="rId1"/>
    <sheet name="Top_Products" sheetId="4" r:id="rId2"/>
    <sheet name="Sales" sheetId="3" r:id="rId3"/>
    <sheet name="xlwings.conf" sheetId="2" r:id="rId4"/>
  </sheets>
  <functionGroups builtInGroupCount="19"/>
  <calcPr calcId="191029"/>
  <pivotCaches>
    <pivotCache cacheId="3" r:id="rId5"/>
  </pivotCaches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B10" i="1" l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<sst xmlns="http://schemas.openxmlformats.org/spreadsheetml/2006/main" count="6076" uniqueCount="1648">
  <si>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</si>
  <si>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</si>
  <si>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</si>
  <si>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</si>
  <si>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</si>
  <si>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</si>
  <si>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</si>
  <si>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</si>
  <si>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</si>
  <si>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</si>
  <si>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</si>
  <si>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</si>
  <si>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</si>
  <si>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</si>
  <si>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</si>
  <si>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Order ID</t>
  </si>
  <si>
    <t>Order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</si>
  <si>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</si>
  <si>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</si>
  <si>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</si>
  <si>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</si>
  <si>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</si>
  <si>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</si>
  <si>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</si>
  <si>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</si>
  <si>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</si>
  <si>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</si>
  <si>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</si>
  <si>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</si>
  <si>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</si>
  <si>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</si>
  <si>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</si>
  <si>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</si>
  <si>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</si>
  <si>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US-2017-118038</t>
  </si>
  <si>
    <t>First Class</t>
  </si>
  <si>
    <t>KB-16600</t>
  </si>
  <si>
    <t>Ken Brennan</t>
  </si>
  <si>
    <t>Corporate</t>
  </si>
  <si>
    <t>United States</t>
  </si>
  <si>
    <t>Houston</t>
  </si>
  <si>
    <t>Texas</t>
  </si>
  <si>
    <t>Central</t>
  </si>
  <si>
    <t>OFF-BI-10004182</t>
  </si>
  <si>
    <t>Office Supplies</t>
  </si>
  <si>
    <t>Binders</t>
  </si>
  <si>
    <t>Economy Binders</t>
  </si>
  <si>
    <t>FUR-FU-10000260</t>
  </si>
  <si>
    <t>Furniture</t>
  </si>
  <si>
    <t>Furnishings</t>
  </si>
  <si>
    <t>6" Cubicle Wall Clock, Black</t>
  </si>
  <si>
    <t>OFF-ST-10000615</t>
  </si>
  <si>
    <t>Storage</t>
  </si>
  <si>
    <t>SimpliFile Personal File, Black Granite, 15w x 6-15/16d x 11-1/4h</t>
  </si>
  <si>
    <t>CA-2017-146780</t>
  </si>
  <si>
    <t>Standard Class</t>
  </si>
  <si>
    <t>CV-12805</t>
  </si>
  <si>
    <t>Cynthia Voltz</t>
  </si>
  <si>
    <t>New York City</t>
  </si>
  <si>
    <t>New York</t>
  </si>
  <si>
    <t>East</t>
  </si>
  <si>
    <t>FUR-FU-10001934</t>
  </si>
  <si>
    <t>Magnifier Swing Arm Lamp</t>
  </si>
  <si>
    <t>CA-2017-155376</t>
  </si>
  <si>
    <t>SG-20080</t>
  </si>
  <si>
    <t>Sandra Glassco</t>
  </si>
  <si>
    <t>Consumer</t>
  </si>
  <si>
    <t>Independence</t>
  </si>
  <si>
    <t>Missouri</t>
  </si>
  <si>
    <t>OFF-AP-10001058</t>
  </si>
  <si>
    <t>Appliances</t>
  </si>
  <si>
    <t>Sanyo 2.5 Cubic Foot Mid-Size Office Refrigerators</t>
  </si>
  <si>
    <t>US-2017-116701</t>
  </si>
  <si>
    <t>Second Class</t>
  </si>
  <si>
    <t>LC-17140</t>
  </si>
  <si>
    <t>Logan Currie</t>
  </si>
  <si>
    <t>Dallas</t>
  </si>
  <si>
    <t>OFF-AP-10003217</t>
  </si>
  <si>
    <t>Eureka Sanitaire  Commercial Upright</t>
  </si>
  <si>
    <t>CA-2017-108329</t>
  </si>
  <si>
    <t>LE-16810</t>
  </si>
  <si>
    <t>Laurel Elliston</t>
  </si>
  <si>
    <t>Whittier</t>
  </si>
  <si>
    <t>California</t>
  </si>
  <si>
    <t>West</t>
  </si>
  <si>
    <t>TEC-PH-10001918</t>
  </si>
  <si>
    <t>Technology</t>
  </si>
  <si>
    <t>Phones</t>
  </si>
  <si>
    <t>Nortel Business Series Terminal T7208 Digital phone</t>
  </si>
  <si>
    <t>CA-2017-135860</t>
  </si>
  <si>
    <t>JH-15985</t>
  </si>
  <si>
    <t>Joseph Holt</t>
  </si>
  <si>
    <t>Saginaw</t>
  </si>
  <si>
    <t>Michigan</t>
  </si>
  <si>
    <t>OFF-ST-10000642</t>
  </si>
  <si>
    <t>Tennsco Lockers, Gray</t>
  </si>
  <si>
    <t>TEC-PH-10001700</t>
  </si>
  <si>
    <t>Panasonic KX-TG6844B Expandable Digital Cordless Telephone</t>
  </si>
  <si>
    <t>OFF-BI-10003274</t>
  </si>
  <si>
    <t>Avery Durable Slant Ring Binders, No Labels</t>
  </si>
  <si>
    <t>OFF-FA-10000134</t>
  </si>
  <si>
    <t>Fasteners</t>
  </si>
  <si>
    <t>Advantus Push Pins, Aluminum Head</t>
  </si>
  <si>
    <t>OFF-ST-10001522</t>
  </si>
  <si>
    <t>Gould Plastics 18-Pocket Panel Bin, 34w x 5-1/4d x 20-1/2h</t>
  </si>
  <si>
    <t>CA-2017-163139</t>
  </si>
  <si>
    <t>CC-12670</t>
  </si>
  <si>
    <t>Craig Carreira</t>
  </si>
  <si>
    <t>TEC-AC-10000290</t>
  </si>
  <si>
    <t>Accessories</t>
  </si>
  <si>
    <t>Sabrent 4-Port USB 2.0 Hub</t>
  </si>
  <si>
    <t>OFF-ST-10002790</t>
  </si>
  <si>
    <t>Safco Industrial Shelving</t>
  </si>
  <si>
    <t>OFF-BI-10003460</t>
  </si>
  <si>
    <t>Acco 3-Hole Punch</t>
  </si>
  <si>
    <t>US-2017-145366</t>
  </si>
  <si>
    <t>CA-12310</t>
  </si>
  <si>
    <t>Christine Abelman</t>
  </si>
  <si>
    <t>Cincinnati</t>
  </si>
  <si>
    <t>Ohio</t>
  </si>
  <si>
    <t>OFF-ST-10004180</t>
  </si>
  <si>
    <t>Safco Commercial Shelving</t>
  </si>
  <si>
    <t>OFF-EN-10004386</t>
  </si>
  <si>
    <t>Envelopes</t>
  </si>
  <si>
    <t>Recycled Interoffice Envelopes with String and Button Closure, 10 x 13</t>
  </si>
  <si>
    <t>CA-2017-163979</t>
  </si>
  <si>
    <t>KH-16690</t>
  </si>
  <si>
    <t>Kristen Hastings</t>
  </si>
  <si>
    <t>San Francisco</t>
  </si>
  <si>
    <t>OFF-ST-10003208</t>
  </si>
  <si>
    <t>Adjustable Depth Letter/Legal Cart</t>
  </si>
  <si>
    <t>CA-2017-101798</t>
  </si>
  <si>
    <t>MV-18190</t>
  </si>
  <si>
    <t>Mike Vittorini</t>
  </si>
  <si>
    <t>OFF-BI-10000050</t>
  </si>
  <si>
    <t>Angle-D Binders with Locking Rings, Label Holders</t>
  </si>
  <si>
    <t>TEC-AC-10001998</t>
  </si>
  <si>
    <t>Logitech LS21 Speaker System - PC Multimedia - 2.1-CH - Wired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</si>
  <si>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</si>
  <si>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</si>
  <si>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</si>
  <si>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</si>
  <si>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</si>
  <si>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</si>
  <si>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</si>
  <si>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</si>
  <si>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TEC-AC-10000158</t>
  </si>
  <si>
    <t>Sony 64GB Class 10 Micro SDHC R40 Memory Card</t>
  </si>
  <si>
    <t>TEC-CO-10004115</t>
  </si>
  <si>
    <t>Copiers</t>
  </si>
  <si>
    <t>Sharp AL-1530CS Digital Copier</t>
  </si>
  <si>
    <t>OFF-PA-10003724</t>
  </si>
  <si>
    <t>Paper</t>
  </si>
  <si>
    <t>Wirebound Message Book, 4 per Page</t>
  </si>
  <si>
    <t>FUR-TA-10002041</t>
  </si>
  <si>
    <t>Tables</t>
  </si>
  <si>
    <t>Bevis Round Conference Table Top, X-Base</t>
  </si>
  <si>
    <t>OFF-PA-10002893</t>
  </si>
  <si>
    <t>Wirebound Service Call Books, 5 1/2" x 4"</t>
  </si>
  <si>
    <t>OFF-LA-10003766</t>
  </si>
  <si>
    <t>Labels</t>
  </si>
  <si>
    <t>Self-Adhesive Removable Labels</t>
  </si>
  <si>
    <t>OFF-PA-10001970</t>
  </si>
  <si>
    <t>Xerox 1908</t>
  </si>
  <si>
    <t>FUR-BO-10001972</t>
  </si>
  <si>
    <t>Bookcases</t>
  </si>
  <si>
    <t>O'Sullivan 4-Shelf Bookcase in Odessa Pine</t>
  </si>
  <si>
    <t>FUR-CH-10003956</t>
  </si>
  <si>
    <t>Chairs</t>
  </si>
  <si>
    <t>Novimex High-Tech Fabric Mesh Task Chair</t>
  </si>
  <si>
    <t>CA-2017-163405</t>
  </si>
  <si>
    <t>BN-11515</t>
  </si>
  <si>
    <t>Bradley Nguyen</t>
  </si>
  <si>
    <t>Los Angeles</t>
  </si>
  <si>
    <t>OFF-AR-10003811</t>
  </si>
  <si>
    <t>Art</t>
  </si>
  <si>
    <t>Newell 327</t>
  </si>
  <si>
    <t>OFF-AR-10001246</t>
  </si>
  <si>
    <t>Newell 317</t>
  </si>
  <si>
    <t>CA-2017-137099</t>
  </si>
  <si>
    <t>FP-14320</t>
  </si>
  <si>
    <t>Frank Preis</t>
  </si>
  <si>
    <t>TEC-PH-10002496</t>
  </si>
  <si>
    <t>Cisco SPA301</t>
  </si>
  <si>
    <t>CA-2017-164826</t>
  </si>
  <si>
    <t>JF-15415</t>
  </si>
  <si>
    <t>Jennifer Ferguson</t>
  </si>
  <si>
    <t>OFF-LA-10001297</t>
  </si>
  <si>
    <t>Avery 473</t>
  </si>
  <si>
    <t>OFF-FA-10000585</t>
  </si>
  <si>
    <t>OIC Bulk Pack Metal Binder Clips</t>
  </si>
  <si>
    <t>OFF-BI-10001922</t>
  </si>
  <si>
    <t>Storex Dura Pro Binders</t>
  </si>
  <si>
    <t>TEC-PH-10000347</t>
  </si>
  <si>
    <t>Cush Cases Heavy Duty Rugged Cover Case for Samsung Galaxy S5 - Purple</t>
  </si>
  <si>
    <t>CA-2017-145233</t>
  </si>
  <si>
    <t>DV-13465</t>
  </si>
  <si>
    <t>Dianna Vittorini</t>
  </si>
  <si>
    <t>Denver</t>
  </si>
  <si>
    <t>Colorado</t>
  </si>
  <si>
    <t>TEC-PH-10004977</t>
  </si>
  <si>
    <t>GE 30524EE4</t>
  </si>
  <si>
    <t>TEC-PH-10000586</t>
  </si>
  <si>
    <t>AT&amp;T SB67148 SynJ</t>
  </si>
  <si>
    <t>OFF-AP-10000358</t>
  </si>
  <si>
    <t>Fellowes Basic Home/Office Series Surge Protectors</t>
  </si>
  <si>
    <t>OFF-BI-10002764</t>
  </si>
  <si>
    <t>Recycled Pressboard Report Cover with Reinforced Top Hinge</t>
  </si>
  <si>
    <t>TEC-PH-10001254</t>
  </si>
  <si>
    <t>Jabra BIZ 2300 Duo QD Duo Corded Headset</t>
  </si>
  <si>
    <t>CA-2017-133431</t>
  </si>
  <si>
    <t>OFF-BI-10000605</t>
  </si>
  <si>
    <t>Acco Pressboard Covers with Storage Hooks, 9 1/2" x 11", Executive Red</t>
  </si>
  <si>
    <t>OFF-PA-10002615</t>
  </si>
  <si>
    <t>Ampad Gold Fibre Wirebound Steno Books, 6" x 9", Gregg Ruled</t>
  </si>
  <si>
    <t>CA-2017-126221</t>
  </si>
  <si>
    <t>CC-12430</t>
  </si>
  <si>
    <t>Chuck Clark</t>
  </si>
  <si>
    <t>Home Office</t>
  </si>
  <si>
    <t>Columbus</t>
  </si>
  <si>
    <t>Indiana</t>
  </si>
  <si>
    <t>OFF-AP-10002457</t>
  </si>
  <si>
    <t>Eureka The Boss Plus 12-Amp Hard Box Upright Vacuum, Red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</si>
  <si>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</si>
  <si>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</si>
  <si>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</si>
  <si>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</si>
  <si>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</si>
  <si>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</si>
  <si>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</si>
  <si>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TEC-AC-10003832</t>
  </si>
  <si>
    <t>Imation 16GB Mini TravelDrive USB 2.0 Flash Drive</t>
  </si>
  <si>
    <t>CA-2017-161480</t>
  </si>
  <si>
    <t>RA-19285</t>
  </si>
  <si>
    <t>Ralph Arnett</t>
  </si>
  <si>
    <t>FUR-BO-10004015</t>
  </si>
  <si>
    <t>Bush Andora Bookcase, Maple/Graphite Gray Finish</t>
  </si>
  <si>
    <t>US-2017-123463</t>
  </si>
  <si>
    <t>Same Day</t>
  </si>
  <si>
    <t>GZ-14470</t>
  </si>
  <si>
    <t>Gary Zandusky</t>
  </si>
  <si>
    <t>OFF-AR-10001118</t>
  </si>
  <si>
    <t>Binney &amp; Smith Crayola Metallic Crayons, 16-Color Pack</t>
  </si>
  <si>
    <t>CA-2017-143259</t>
  </si>
  <si>
    <t>PO-18865</t>
  </si>
  <si>
    <t>Patrick O'Donnell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</si>
  <si>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</si>
  <si>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</si>
  <si>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</si>
  <si>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</si>
  <si>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</si>
  <si>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</si>
  <si>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CA-2017-136539</t>
  </si>
  <si>
    <t>GH-14665</t>
  </si>
  <si>
    <t>Greg Hansen</t>
  </si>
  <si>
    <t>Round Rock</t>
  </si>
  <si>
    <t>OFF-AR-10001958</t>
  </si>
  <si>
    <t>Stanley Bostitch Contemporary Electric Pencil Sharpeners</t>
  </si>
  <si>
    <t>FUR-BO-10004709</t>
  </si>
  <si>
    <t>Bush Westfield Collection Bookcases, Medium Cherry Finish</t>
  </si>
  <si>
    <t>US-2017-106705</t>
  </si>
  <si>
    <t>PO-18850</t>
  </si>
  <si>
    <t>Patrick O'Brill</t>
  </si>
  <si>
    <t>Burlington</t>
  </si>
  <si>
    <t>Iowa</t>
  </si>
  <si>
    <t>OFF-PA-10001509</t>
  </si>
  <si>
    <t>Recycled Desk Saver Line "While You Were Out" Book, 5 1/2" X 4"</t>
  </si>
  <si>
    <t>CA-2017-106964</t>
  </si>
  <si>
    <t>HR-14770</t>
  </si>
  <si>
    <t>Hallie Redmond</t>
  </si>
  <si>
    <t>OFF-BI-10000320</t>
  </si>
  <si>
    <t>GBC Plastic Binding Combs</t>
  </si>
  <si>
    <t>CA-2017-167150</t>
  </si>
  <si>
    <t>BP-11185</t>
  </si>
  <si>
    <t>Ben Peterman</t>
  </si>
  <si>
    <t>San Diego</t>
  </si>
  <si>
    <t>OFF-BI-10001097</t>
  </si>
  <si>
    <t>Avery Hole Reinforcements</t>
  </si>
  <si>
    <t>OFF-BI-10001597</t>
  </si>
  <si>
    <t>Wilson Jones Ledger-Size, Piano-Hinge Binder, 2", Blue</t>
  </si>
  <si>
    <t>CA-2017-140585</t>
  </si>
  <si>
    <t>RA-19915</t>
  </si>
  <si>
    <t>Russell Applegate</t>
  </si>
  <si>
    <t>Encinitas</t>
  </si>
  <si>
    <t>OFF-BI-10003364</t>
  </si>
  <si>
    <t>Binding Machine Supplies</t>
  </si>
  <si>
    <t>FUR-BO-10002206</t>
  </si>
  <si>
    <t>Bush Saratoga Collection 5-Shelf Bookcase, Hanover Cherry, *Special Order</t>
  </si>
  <si>
    <t>TEC-AC-10003610</t>
  </si>
  <si>
    <t>Logitech Illuminated - Keyboard</t>
  </si>
  <si>
    <t>CA-2017-145226</t>
  </si>
  <si>
    <t>DL-13315</t>
  </si>
  <si>
    <t>Delfina Latchford</t>
  </si>
  <si>
    <t>FUR-FU-10004952</t>
  </si>
  <si>
    <t>C-Line Cubicle Keepers Polyproplyene Holder w/Velcro Back, 8-1/2x11, 25/Bx</t>
  </si>
  <si>
    <t>OFF-ST-10004123</t>
  </si>
  <si>
    <t>Safco Industrial Wire Shelving System</t>
  </si>
  <si>
    <t>OFF-PA-10003172</t>
  </si>
  <si>
    <t>Xerox 1996</t>
  </si>
  <si>
    <t>OFF-ST-10002352</t>
  </si>
  <si>
    <t>Iris Project Case</t>
  </si>
  <si>
    <t>CA-2017-115602</t>
  </si>
  <si>
    <t>DJ-13630</t>
  </si>
  <si>
    <t>Doug Jacobs</t>
  </si>
  <si>
    <t>OFF-AR-10002280</t>
  </si>
  <si>
    <t>Staples in misc. colors</t>
  </si>
  <si>
    <t>FUR-CH-10001708</t>
  </si>
  <si>
    <t>Office Star - Contemporary Swivel Chair with Padded Adjustable Arms and Flex Back</t>
  </si>
  <si>
    <t>OFF-AP-10000891</t>
  </si>
  <si>
    <t>Kensington 7 Outlet MasterPiece HOMEOFFICE Power Control Center</t>
  </si>
  <si>
    <t>OFF-AR-10000462</t>
  </si>
  <si>
    <t>Sanford Pocket Accent Highlighters</t>
  </si>
  <si>
    <t>CA-2017-115427</t>
  </si>
  <si>
    <t>EB-13975</t>
  </si>
  <si>
    <t>Erica Bern</t>
  </si>
  <si>
    <t>Fairfield</t>
  </si>
  <si>
    <t>OFF-BI-10002103</t>
  </si>
  <si>
    <t>Cardinal Slant-D Ring Binder, Heavy Gauge Vinyl</t>
  </si>
  <si>
    <t>OFF-BI-10004632</t>
  </si>
  <si>
    <t>GBC Binding covers</t>
  </si>
  <si>
    <t>CA-2017-157651</t>
  </si>
  <si>
    <t>HA-14920</t>
  </si>
  <si>
    <t>Helen Andreada</t>
  </si>
  <si>
    <t>Philadelphia</t>
  </si>
  <si>
    <t>Pennsylvania</t>
  </si>
  <si>
    <t>TEC-AC-10003116</t>
  </si>
  <si>
    <t>Memorex Froggy Flash Drive 8 GB</t>
  </si>
  <si>
    <t>CA-2017-128160</t>
  </si>
  <si>
    <t>MM-17920</t>
  </si>
  <si>
    <t>Michael Moore</t>
  </si>
  <si>
    <t>OFF-BI-10001510</t>
  </si>
  <si>
    <t>Deluxe Heavy-Duty Vinyl Round Ring Binder</t>
  </si>
  <si>
    <t>CA-2017-139199</t>
  </si>
  <si>
    <t>DK-12835</t>
  </si>
  <si>
    <t>Damala Kotsonis</t>
  </si>
  <si>
    <t>Detroit</t>
  </si>
  <si>
    <t>FUR-CH-10000847</t>
  </si>
  <si>
    <t>Global Executive Mid-Back Manager's Chair</t>
  </si>
  <si>
    <t>OFF-BI-10003982</t>
  </si>
  <si>
    <t>Wilson Jones Century Plastic Molded Ring Binders</t>
  </si>
  <si>
    <t>OFF-PA-10001293</t>
  </si>
  <si>
    <t>Xerox 1946</t>
  </si>
  <si>
    <t>CA-2017-154935</t>
  </si>
  <si>
    <t>AR-10540</t>
  </si>
  <si>
    <t>Andy Reiter</t>
  </si>
  <si>
    <t>OFF-BI-10003708</t>
  </si>
  <si>
    <t>Acco Four Pocket Poly Ring Binder with Label Holder, Smoke, 1"</t>
  </si>
  <si>
    <t>CA-2017-108294</t>
  </si>
  <si>
    <t>LS-16975</t>
  </si>
  <si>
    <t>Lindsay Shagiari</t>
  </si>
  <si>
    <t>Omaha</t>
  </si>
  <si>
    <t>Nebraska</t>
  </si>
  <si>
    <t>OFF-BI-10004965</t>
  </si>
  <si>
    <t>Ibico Covers for Plastic or Wire Binding Elements</t>
  </si>
  <si>
    <t>US-2017-160759</t>
  </si>
  <si>
    <t>AI-10855</t>
  </si>
  <si>
    <t>Arianne Irving</t>
  </si>
  <si>
    <t>FUR-CH-10002961</t>
  </si>
  <si>
    <t>Leather Task Chair, Black</t>
  </si>
  <si>
    <t>CA-2017-148446</t>
  </si>
  <si>
    <t>MC-17845</t>
  </si>
  <si>
    <t>Michael Chen</t>
  </si>
  <si>
    <t>North Las Vegas</t>
  </si>
  <si>
    <t>Nevada</t>
  </si>
  <si>
    <t>FUR-TA-10004256</t>
  </si>
  <si>
    <t>Bretford “Just In Time” Height-Adjustable Multi-Task Work Tables</t>
  </si>
  <si>
    <t>CA-2017-138380</t>
  </si>
  <si>
    <t>YS-21880</t>
  </si>
  <si>
    <t>Yana Sorensen</t>
  </si>
  <si>
    <t>Oakland</t>
  </si>
  <si>
    <t>OFF-ST-10003306</t>
  </si>
  <si>
    <t>Letter Size Cart</t>
  </si>
  <si>
    <t>CA-2017-143798</t>
  </si>
  <si>
    <t>AW-10840</t>
  </si>
  <si>
    <t>Anthony Witt</t>
  </si>
  <si>
    <t>OFF-PA-10000788</t>
  </si>
  <si>
    <t>Xerox 210</t>
  </si>
  <si>
    <t>FUR-FU-10004306</t>
  </si>
  <si>
    <t>Electrix Halogen Magnifier Lamp</t>
  </si>
  <si>
    <t>CA-2017-129833</t>
  </si>
  <si>
    <t>HF-14995</t>
  </si>
  <si>
    <t>Herbert Flentye</t>
  </si>
  <si>
    <t>Indianapolis</t>
  </si>
  <si>
    <t>OFF-PA-10000575</t>
  </si>
  <si>
    <t>Wirebound Message Books, Four 2 3/4 x 5 White Forms per Page</t>
  </si>
  <si>
    <t>CA-2017-116715</t>
  </si>
  <si>
    <t>VW-21775</t>
  </si>
  <si>
    <t>Victoria Wilson</t>
  </si>
  <si>
    <t>OFF-ST-10004340</t>
  </si>
  <si>
    <t>Fellowes Mobile File Cart, Black</t>
  </si>
  <si>
    <t>OFF-PA-10004475</t>
  </si>
  <si>
    <t>Xerox 1940</t>
  </si>
  <si>
    <t>OFF-PA-10003893</t>
  </si>
  <si>
    <t>Xerox 1962</t>
  </si>
  <si>
    <t>CA-2017-118885</t>
  </si>
  <si>
    <t>JG-15160</t>
  </si>
  <si>
    <t>James Galang</t>
  </si>
  <si>
    <t>FUR-CH-10002880</t>
  </si>
  <si>
    <t>Global High-Back Leather Tilter, Burgundy</t>
  </si>
  <si>
    <t>TEC-PH-10002563</t>
  </si>
  <si>
    <t>Adtran 1202752G1</t>
  </si>
  <si>
    <t>CA-2017-145310</t>
  </si>
  <si>
    <t>JP-15520</t>
  </si>
  <si>
    <t>Jeremy Pistek</t>
  </si>
  <si>
    <t>Port Orange</t>
  </si>
  <si>
    <t>Florida</t>
  </si>
  <si>
    <t>South</t>
  </si>
  <si>
    <t>OFF-EN-10002621</t>
  </si>
  <si>
    <t>Staple envelope</t>
  </si>
  <si>
    <t>US-2017-108063</t>
  </si>
  <si>
    <t>AS-10090</t>
  </si>
  <si>
    <t>Adam Shillingsburg</t>
  </si>
  <si>
    <t>Charlottesville</t>
  </si>
  <si>
    <t>Virginia</t>
  </si>
  <si>
    <t>OFF-AR-10001446</t>
  </si>
  <si>
    <t>Newell 309</t>
  </si>
  <si>
    <t>CA-2017-105886</t>
  </si>
  <si>
    <t>DB-13660</t>
  </si>
  <si>
    <t>Duane Benoit</t>
  </si>
  <si>
    <t>Oceanside</t>
  </si>
  <si>
    <t>FUR-FU-10001037</t>
  </si>
  <si>
    <t>DAX Charcoal/Nickel-Tone Document Frame, 5 x 7</t>
  </si>
  <si>
    <t>CA-2017-126865</t>
  </si>
  <si>
    <t>NP-18325</t>
  </si>
  <si>
    <t>Naresj Patel</t>
  </si>
  <si>
    <t>OFF-PA-10003039</t>
  </si>
  <si>
    <t>Xerox 1960</t>
  </si>
  <si>
    <t>CA-2017-165841</t>
  </si>
  <si>
    <t>DB-13210</t>
  </si>
  <si>
    <t>Dean Braden</t>
  </si>
  <si>
    <t>Paterson</t>
  </si>
  <si>
    <t>New Jersey</t>
  </si>
  <si>
    <t>TEC-PH-10002103</t>
  </si>
  <si>
    <t>Jabra SPEAK 410</t>
  </si>
  <si>
    <t>OFF-SU-10000898</t>
  </si>
  <si>
    <t>Supplies</t>
  </si>
  <si>
    <t>Acme Hot Forged Carbon Steel Scissors with Nickel-Plated Handles, 3 7/8" Cut, 8"L</t>
  </si>
  <si>
    <t>OFF-PA-10001144</t>
  </si>
  <si>
    <t>Xerox 1913</t>
  </si>
  <si>
    <t>US-2017-147221</t>
  </si>
  <si>
    <t>JS-16030</t>
  </si>
  <si>
    <t>Joy Smith</t>
  </si>
  <si>
    <t>OFF-AP-10002534</t>
  </si>
  <si>
    <t>3.6 Cubic Foot Counter Height Office Refrigerator</t>
  </si>
  <si>
    <t>FUR-FU-10004020</t>
  </si>
  <si>
    <t>Advantus Panel Wall Acrylic Frame</t>
  </si>
  <si>
    <t>CA-2017-163510</t>
  </si>
  <si>
    <t>JW-15955</t>
  </si>
  <si>
    <t>Joni Wasserman</t>
  </si>
  <si>
    <t>Louisville</t>
  </si>
  <si>
    <t>Kentucky</t>
  </si>
  <si>
    <t>OFF-ST-10000563</t>
  </si>
  <si>
    <t>Fellowes Bankers Box Stor/Drawer Steel Plus</t>
  </si>
  <si>
    <t>FUR-CH-10001146</t>
  </si>
  <si>
    <t>Global Value Mid-Back Manager's Chair, Gray</t>
  </si>
  <si>
    <t>CA-2017-120376</t>
  </si>
  <si>
    <t>TP-21130</t>
  </si>
  <si>
    <t>Theone Pippenger</t>
  </si>
  <si>
    <t>TEC-AC-10001114</t>
  </si>
  <si>
    <t>Microsoft Wireless Mobile Mouse 4000</t>
  </si>
  <si>
    <t>FUR-CH-10002335</t>
  </si>
  <si>
    <t>Hon GuestStacker Chair</t>
  </si>
  <si>
    <t>TEC-AC-10000844</t>
  </si>
  <si>
    <t>Logitech Gaming G510s - Keyboard</t>
  </si>
  <si>
    <t>FUR-TA-10004534</t>
  </si>
  <si>
    <t>Bevis 44 x 96 Conference Tables</t>
  </si>
  <si>
    <t>CA-2017-144862</t>
  </si>
  <si>
    <t>EH-14005</t>
  </si>
  <si>
    <t>Erica Hernandez</t>
  </si>
  <si>
    <t>OFF-EN-10003040</t>
  </si>
  <si>
    <t>Quality Park Security Envelopes</t>
  </si>
  <si>
    <t>TEC-PH-10000923</t>
  </si>
  <si>
    <t>Belkin SportFit Armband For iPhone 5s/5c, Fuchsia</t>
  </si>
  <si>
    <t>CA-2017-104066</t>
  </si>
  <si>
    <t>QJ-19255</t>
  </si>
  <si>
    <t>Quincy Jones</t>
  </si>
  <si>
    <t>Vermont</t>
  </si>
  <si>
    <t>05408</t>
  </si>
  <si>
    <t>TEC-AC-10001013</t>
  </si>
  <si>
    <t>Logitech ClearChat Comfort/USB Headset H390</t>
  </si>
  <si>
    <t>CA-2017-105480</t>
  </si>
  <si>
    <t>DK-13225</t>
  </si>
  <si>
    <t>Dean Katz</t>
  </si>
  <si>
    <t>Rochester</t>
  </si>
  <si>
    <t>OFF-PA-10002787</t>
  </si>
  <si>
    <t>Xerox 227</t>
  </si>
  <si>
    <t>OFF-BI-10003291</t>
  </si>
  <si>
    <t>Wilson Jones Leather-Like Binders with DublLock Round Rings</t>
  </si>
  <si>
    <t>CA-2017-164917</t>
  </si>
  <si>
    <t>MK-17905</t>
  </si>
  <si>
    <t>Michael Kennedy</t>
  </si>
  <si>
    <t>Miami</t>
  </si>
  <si>
    <t>OFF-AR-10004344</t>
  </si>
  <si>
    <t>Bulldog Vacuum Base Pencil Sharpener</t>
  </si>
  <si>
    <t>CA-2017-127929</t>
  </si>
  <si>
    <t>FM-14215</t>
  </si>
  <si>
    <t>Filia McAdams</t>
  </si>
  <si>
    <t>Middletown</t>
  </si>
  <si>
    <t>Connecticut</t>
  </si>
  <si>
    <t>FUR-FU-10003708</t>
  </si>
  <si>
    <t>Tenex Traditional Chairmats for Medium Pile Carpet, Standard Lip, 36" x 48"</t>
  </si>
  <si>
    <t>CA-2017-152695</t>
  </si>
  <si>
    <t>CC-12220</t>
  </si>
  <si>
    <t>Chris Cortes</t>
  </si>
  <si>
    <t>OFF-EN-10004030</t>
  </si>
  <si>
    <t>Convenience Packs of Business Envelopes</t>
  </si>
  <si>
    <t>OFF-AP-10000026</t>
  </si>
  <si>
    <t>Tripp Lite Isotel 6 Outlet Surge Protector with Fax/Modem Protection</t>
  </si>
  <si>
    <t>CA-2017-109701</t>
  </si>
  <si>
    <t>AM-10360</t>
  </si>
  <si>
    <t>Alice McCarthy</t>
  </si>
  <si>
    <t>OFF-BI-10004187</t>
  </si>
  <si>
    <t>3-ring staple pack</t>
  </si>
  <si>
    <t>OFF-BI-10000632</t>
  </si>
  <si>
    <t>Satellite Sectional Post Binders</t>
  </si>
  <si>
    <t>OFF-AP-10002765</t>
  </si>
  <si>
    <t>Fellowes Advanced Computer Series Surge Protectors</t>
  </si>
  <si>
    <t>OFF-AR-10001868</t>
  </si>
  <si>
    <t>Prang Dustless Chalk Sticks</t>
  </si>
  <si>
    <t>US-2017-147669</t>
  </si>
  <si>
    <t>SV-20935</t>
  </si>
  <si>
    <t>Susan Vittorini</t>
  </si>
  <si>
    <t>TEC-AC-10002473</t>
  </si>
  <si>
    <t>Maxell 4.7GB DVD-R</t>
  </si>
  <si>
    <t>FUR-TA-10002645</t>
  </si>
  <si>
    <t>Hon Rectangular Conference Tables</t>
  </si>
  <si>
    <t>OFF-FA-10002975</t>
  </si>
  <si>
    <t>Staples</t>
  </si>
  <si>
    <t>CA-2017-129805</t>
  </si>
  <si>
    <t>HM-14860</t>
  </si>
  <si>
    <t>Harry Marie</t>
  </si>
  <si>
    <t>Seattle</t>
  </si>
  <si>
    <t>Washington</t>
  </si>
  <si>
    <t>FUR-FU-10001935</t>
  </si>
  <si>
    <t>3M Hangers With Command Adhesive</t>
  </si>
  <si>
    <t>CA-2017-148691</t>
  </si>
  <si>
    <t>CS-12460</t>
  </si>
  <si>
    <t>Chuck Sachs</t>
  </si>
  <si>
    <t>OFF-BI-10001524</t>
  </si>
  <si>
    <t>GBC Premium Transparent Covers with Diagonal Lined Pattern</t>
  </si>
  <si>
    <t>OFF-BI-10001553</t>
  </si>
  <si>
    <t>SpineVue Locking Slant-D Ring Binders by Cardinal</t>
  </si>
  <si>
    <t>TEC-PH-10000576</t>
  </si>
  <si>
    <t>AT&amp;T 1080 Corded phone</t>
  </si>
  <si>
    <t>OFF-LA-10001317</t>
  </si>
  <si>
    <t>Avery 520</t>
  </si>
  <si>
    <t>CA-2017-147956</t>
  </si>
  <si>
    <t>AH-10210</t>
  </si>
  <si>
    <t>Alan Hwang</t>
  </si>
  <si>
    <t>OFF-ST-10001097</t>
  </si>
  <si>
    <t>Office Impressions Heavy Duty Welded Shelving &amp; Multimedia Storage Drawers</t>
  </si>
  <si>
    <t>CA-2017-155089</t>
  </si>
  <si>
    <t>DB-12910</t>
  </si>
  <si>
    <t>Daniel Byrd</t>
  </si>
  <si>
    <t>Tampa</t>
  </si>
  <si>
    <t>OFF-BI-10002429</t>
  </si>
  <si>
    <t>Premier Elliptical Ring Binder, Black</t>
  </si>
  <si>
    <t>CA-2017-109589</t>
  </si>
  <si>
    <t>BD-11635</t>
  </si>
  <si>
    <t>Brian Derr</t>
  </si>
  <si>
    <t>Bowling Green</t>
  </si>
  <si>
    <t>CA-2017-134404</t>
  </si>
  <si>
    <t>DR-12880</t>
  </si>
  <si>
    <t>Dan Reichenbach</t>
  </si>
  <si>
    <t>Newark</t>
  </si>
  <si>
    <t>OFF-AR-10004441</t>
  </si>
  <si>
    <t>BIC Brite Liner Highlighters</t>
  </si>
  <si>
    <t>CA-2017-115931</t>
  </si>
  <si>
    <t>JM-15655</t>
  </si>
  <si>
    <t>Jim Mitchum</t>
  </si>
  <si>
    <t>Carlsbad</t>
  </si>
  <si>
    <t>New Mexico</t>
  </si>
  <si>
    <t>OFF-AR-10000369</t>
  </si>
  <si>
    <t>Design Ebony Sketching Pencil</t>
  </si>
  <si>
    <t>TEC-PH-10001300</t>
  </si>
  <si>
    <t>iKross Bluetooth Portable Keyboard + Cell Phone Stand Holder + Brush for Apple iPhone 5S 5C 5, 4S 4</t>
  </si>
  <si>
    <t>OFF-ST-10000876</t>
  </si>
  <si>
    <t>Eldon Simplefile Box Office</t>
  </si>
  <si>
    <t>OFF-LA-10001404</t>
  </si>
  <si>
    <t>Avery 517</t>
  </si>
  <si>
    <t>CA-2017-136875</t>
  </si>
  <si>
    <t>TC-21295</t>
  </si>
  <si>
    <t>Toby Carlisle</t>
  </si>
  <si>
    <t>OFF-PA-10000357</t>
  </si>
  <si>
    <t>Xerox 1888</t>
  </si>
  <si>
    <t>CA-2017-156412</t>
  </si>
  <si>
    <t>CM-12160</t>
  </si>
  <si>
    <t>Charles McCrossin</t>
  </si>
  <si>
    <t>OFF-BI-10004364</t>
  </si>
  <si>
    <t>CA-2017-144827</t>
  </si>
  <si>
    <t>SE-20110</t>
  </si>
  <si>
    <t>Sanjit Engle</t>
  </si>
  <si>
    <t>Costa Mesa</t>
  </si>
  <si>
    <t>CA-2017-119193</t>
  </si>
  <si>
    <t>SK-19990</t>
  </si>
  <si>
    <t>Sally Knutson</t>
  </si>
  <si>
    <t>Toledo</t>
  </si>
  <si>
    <t>OFF-BI-10000848</t>
  </si>
  <si>
    <t>Angle-D Ring Binders</t>
  </si>
  <si>
    <t>TEC-PH-10003072</t>
  </si>
  <si>
    <t>Panasonic KX-TG9541B DECT 6.0 Digital 2-Line Expandable Cordless Phone With Digital Answering System</t>
  </si>
  <si>
    <t>CA-2017-158967</t>
  </si>
  <si>
    <t>BT-11680</t>
  </si>
  <si>
    <t>Brian Thompson</t>
  </si>
  <si>
    <t>Fort Lauderdale</t>
  </si>
  <si>
    <t>FUR-FU-10001940</t>
  </si>
  <si>
    <t>Staple-based wall hangings</t>
  </si>
  <si>
    <t>CA-2017-107342</t>
  </si>
  <si>
    <t>VF-21715</t>
  </si>
  <si>
    <t>Vicky Freymann</t>
  </si>
  <si>
    <t>OFF-PA-10001745</t>
  </si>
  <si>
    <t>Wirebound Message Books, 2 7/8" x 5", 3 Forms per Page</t>
  </si>
  <si>
    <t>US-2017-102638</t>
  </si>
  <si>
    <t>OFF-FA-10002988</t>
  </si>
  <si>
    <t>Ideal Clamps</t>
  </si>
  <si>
    <t>CA-2017-102099</t>
  </si>
  <si>
    <t>EP-13915</t>
  </si>
  <si>
    <t>Emily Phan</t>
  </si>
  <si>
    <t>OFF-PA-10000289</t>
  </si>
  <si>
    <t>Xerox 213</t>
  </si>
  <si>
    <t>CA-2017-169859</t>
  </si>
  <si>
    <t>MP-18175</t>
  </si>
  <si>
    <t>Mike Pelletier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</si>
  <si>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</si>
  <si>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</si>
  <si>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</si>
  <si>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</si>
  <si>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OFF-EN-10000461</t>
  </si>
  <si>
    <t>#10- 4 1/8" x 9 1/2" Recycled Envelopes</t>
  </si>
  <si>
    <t>CA-2017-137428</t>
  </si>
  <si>
    <t>AY-10555</t>
  </si>
  <si>
    <t>Andy Yotov</t>
  </si>
  <si>
    <t>FUR-CH-10002774</t>
  </si>
  <si>
    <t>Global Deluxe Stacking Chair, Gray</t>
  </si>
  <si>
    <t>FUR-CH-10003817</t>
  </si>
  <si>
    <t>Global Value Steno Chair, Gray</t>
  </si>
  <si>
    <t>OFF-BI-10002949</t>
  </si>
  <si>
    <t>Prestige Round Ring Binders</t>
  </si>
  <si>
    <t>FUR-FU-10002445</t>
  </si>
  <si>
    <t>DAX Two-Tone Rosewood/Black Document Frame, Desktop, 5 x 7</t>
  </si>
  <si>
    <t>CA-2017-111808</t>
  </si>
  <si>
    <t>AR-10510</t>
  </si>
  <si>
    <t>Andrew Roberts</t>
  </si>
  <si>
    <t>Tulsa</t>
  </si>
  <si>
    <t>Oklahoma</t>
  </si>
  <si>
    <t>OFF-BI-10004656</t>
  </si>
  <si>
    <t>Peel &amp; Stick Add-On Corner Pockets</t>
  </si>
  <si>
    <t>CA-2017-139773</t>
  </si>
  <si>
    <t>DV-13045</t>
  </si>
  <si>
    <t>Darrin Van Huff</t>
  </si>
  <si>
    <t>FUR-CH-10001797</t>
  </si>
  <si>
    <t>Safco Chair Connectors, 6/Carton</t>
  </si>
  <si>
    <t>CA-2017-104381</t>
  </si>
  <si>
    <t>RD-19810</t>
  </si>
  <si>
    <t>Ross DeVincentis</t>
  </si>
  <si>
    <t>OFF-BI-10001628</t>
  </si>
  <si>
    <t>Acco Data Flex Cable Posts For Top &amp; Bottom Load Binders, 6" Capacity</t>
  </si>
  <si>
    <t>CA-2017-116855</t>
  </si>
  <si>
    <t>Chesapeake</t>
  </si>
  <si>
    <t>FUR-CH-10003846</t>
  </si>
  <si>
    <t>Hon Valutask Swivel Chairs</t>
  </si>
  <si>
    <t>CA-2017-119578</t>
  </si>
  <si>
    <t>JG-15310</t>
  </si>
  <si>
    <t>Jason Gross</t>
  </si>
  <si>
    <t>Providence</t>
  </si>
  <si>
    <t>Rhode Island</t>
  </si>
  <si>
    <t>OFF-SU-10003505</t>
  </si>
  <si>
    <t>Premier Electric Letter Opener</t>
  </si>
  <si>
    <t>FUR-BO-10003660</t>
  </si>
  <si>
    <t>Bush Cubix Collection Bookcases, Fully Assembled</t>
  </si>
  <si>
    <t>CA-2017-107461</t>
  </si>
  <si>
    <t>PK-19075</t>
  </si>
  <si>
    <t>Pete Kriz</t>
  </si>
  <si>
    <t>Columbia</t>
  </si>
  <si>
    <t>South Carolina</t>
  </si>
  <si>
    <t>OFF-BI-10002003</t>
  </si>
  <si>
    <t>Ibico Presentation Index for Binding Systems</t>
  </si>
  <si>
    <t>CA-2017-105235</t>
  </si>
  <si>
    <t>SM-20950</t>
  </si>
  <si>
    <t>Suzanne McNair</t>
  </si>
  <si>
    <t>FUR-FU-10001487</t>
  </si>
  <si>
    <t>Eldon Expressions Wood and Plastic Desk Accessories, Cherry Wood</t>
  </si>
  <si>
    <t>FUR-FU-10000521</t>
  </si>
  <si>
    <t>Seth Thomas 14" Putty-Colored Wall Clock</t>
  </si>
  <si>
    <t>OFF-AP-10001271</t>
  </si>
  <si>
    <t>Eureka The Boss Cordless Rechargeable Stick Vac</t>
  </si>
  <si>
    <t>CA-2017-164000</t>
  </si>
  <si>
    <t>AH-10030</t>
  </si>
  <si>
    <t>Aaron Hawkins</t>
  </si>
  <si>
    <t>OFF-AR-10003183</t>
  </si>
  <si>
    <t>Avery Fluorescent Highlighter Four-Color Set</t>
  </si>
  <si>
    <t>CA-2017-113355</t>
  </si>
  <si>
    <t>SJ-20215</t>
  </si>
  <si>
    <t>Sarah Jordon</t>
  </si>
  <si>
    <t>Grand Prairie</t>
  </si>
  <si>
    <t>TEC-PH-10004912</t>
  </si>
  <si>
    <t>Cisco SPA112 2 Port Phone Adapter</t>
  </si>
  <si>
    <t>FUR-CH-10002602</t>
  </si>
  <si>
    <t>DMI Arturo Collection Mission-style Design Wood Chair</t>
  </si>
  <si>
    <t>US-2017-140907</t>
  </si>
  <si>
    <t>TEC-AC-10004510</t>
  </si>
  <si>
    <t>Logitech Desktop MK120 Mouse and keyboard Combo</t>
  </si>
  <si>
    <t>OFF-ST-10000060</t>
  </si>
  <si>
    <t>Fellowes Bankers Box Staxonsteel Drawer File/Stacking System</t>
  </si>
  <si>
    <t>OFF-AR-10000799</t>
  </si>
  <si>
    <t>Col-Erase Pencils with Erasers</t>
  </si>
  <si>
    <t>CA-2017-169978</t>
  </si>
  <si>
    <t>HG-15025</t>
  </si>
  <si>
    <t>Hunter Glantz</t>
  </si>
  <si>
    <t>OFF-BI-10001900</t>
  </si>
  <si>
    <t>DXL Angle-View Binders with Locking Rings, Black</t>
  </si>
  <si>
    <t>CA-2017-122595</t>
  </si>
  <si>
    <t>GM-14455</t>
  </si>
  <si>
    <t>Gary Mitchum</t>
  </si>
  <si>
    <t>Chicago</t>
  </si>
  <si>
    <t>Illinois</t>
  </si>
  <si>
    <t>TEC-AC-10000474</t>
  </si>
  <si>
    <t>Kensington Expert Mouse Optical USB Trackball for PC or Mac</t>
  </si>
  <si>
    <t>TEC-PH-10003095</t>
  </si>
  <si>
    <t>Samsung HM1900 Bluetooth Headset</t>
  </si>
  <si>
    <t>FUR-FU-10002963</t>
  </si>
  <si>
    <t>Master Caster Door Stop, Gray</t>
  </si>
  <si>
    <t>CA-2017-148264</t>
  </si>
  <si>
    <t>LF-17185</t>
  </si>
  <si>
    <t>Luke Foster</t>
  </si>
  <si>
    <t>Inglewood</t>
  </si>
  <si>
    <t>OFF-ST-10003327</t>
  </si>
  <si>
    <t>Akro-Mils 12-Gallon Tote</t>
  </si>
  <si>
    <t>FUR-FU-10002703</t>
  </si>
  <si>
    <t>Tenex Traditional Chairmats for Hard Floors, Average Lip, 36" x 48"</t>
  </si>
  <si>
    <t>OFF-PA-10003651</t>
  </si>
  <si>
    <t>Xerox 1968</t>
  </si>
  <si>
    <t>CA-2017-131212</t>
  </si>
  <si>
    <t>AB-10165</t>
  </si>
  <si>
    <t>Alan Barnes</t>
  </si>
  <si>
    <t>Bellevue</t>
  </si>
  <si>
    <t>OFF-BI-10001617</t>
  </si>
  <si>
    <t>GBC Wire Binding Combs</t>
  </si>
  <si>
    <t>OFF-BI-10000145</t>
  </si>
  <si>
    <t>Zipper Ring Binder Pockets</t>
  </si>
  <si>
    <t>CA-2017-128699</t>
  </si>
  <si>
    <t>ND-18370</t>
  </si>
  <si>
    <t>Natalie DeCherney</t>
  </si>
  <si>
    <t>Jacksonville</t>
  </si>
  <si>
    <t>TEC-AC-10001990</t>
  </si>
  <si>
    <t>Kensington Orbit Wireless Mobile Trackball for PC and Mac</t>
  </si>
  <si>
    <t>CA-2017-148922</t>
  </si>
  <si>
    <t>SU-20665</t>
  </si>
  <si>
    <t>Stephanie Ulpright</t>
  </si>
  <si>
    <t>Jackson</t>
  </si>
  <si>
    <t>Mississippi</t>
  </si>
  <si>
    <t>TEC-AC-10001838</t>
  </si>
  <si>
    <t>Razer Tiamat Over Ear 7.1 Surround Sound PC Gaming Headset</t>
  </si>
  <si>
    <t>TEC-PH-10000148</t>
  </si>
  <si>
    <t>Cyber Acoustics AC-202b Speech Recognition Stereo Headset</t>
  </si>
  <si>
    <t>OFF-BI-10003476</t>
  </si>
  <si>
    <t>Avery Metallic Poly Binders</t>
  </si>
  <si>
    <t>CA-2017-121216</t>
  </si>
  <si>
    <t>College Station</t>
  </si>
  <si>
    <t>OFF-PA-10004519</t>
  </si>
  <si>
    <t>Spiral Phone Message Books with Labels by Adams</t>
  </si>
  <si>
    <t>OFF-AP-10001947</t>
  </si>
  <si>
    <t>Acco 6 Outlet Guardian Premium Plus Surge Suppressor</t>
  </si>
  <si>
    <t>CA-2017-118542</t>
  </si>
  <si>
    <t>CC-12550</t>
  </si>
  <si>
    <t>Clay Cheatham</t>
  </si>
  <si>
    <t>OFF-PA-10004735</t>
  </si>
  <si>
    <t>Xerox 1905</t>
  </si>
  <si>
    <t>OFF-BI-10003429</t>
  </si>
  <si>
    <t>Cardinal HOLDit! Binder Insert Strips,Extra Strips</t>
  </si>
  <si>
    <t>CA-2017-158729</t>
  </si>
  <si>
    <t>AC-10450</t>
  </si>
  <si>
    <t>Amy Cox</t>
  </si>
  <si>
    <t>Lafayette</t>
  </si>
  <si>
    <t>Louisiana</t>
  </si>
  <si>
    <t>OFF-SU-10002881</t>
  </si>
  <si>
    <t>Martin Yale Chadless Opener Electric Letter Opener</t>
  </si>
  <si>
    <t>CA-2017-148012</t>
  </si>
  <si>
    <t>KM-16225</t>
  </si>
  <si>
    <t>Kalyca Meade</t>
  </si>
  <si>
    <t>OFF-AR-10004757</t>
  </si>
  <si>
    <t>Crayola Colored Pencils</t>
  </si>
  <si>
    <t>CA-2017-109960</t>
  </si>
  <si>
    <t>TEC-AC-10004859</t>
  </si>
  <si>
    <t>Maxell Pro 80 Minute CD-R, 10/Pack</t>
  </si>
  <si>
    <t>OFF-AR-10001860</t>
  </si>
  <si>
    <t>BIC Liqua Brite Liner</t>
  </si>
  <si>
    <t>OFF-BI-10001636</t>
  </si>
  <si>
    <t>Ibico Plastic and Wire Spiral Binding Combs</t>
  </si>
  <si>
    <t>OFF-PA-10000349</t>
  </si>
  <si>
    <t>Easy-staple paper</t>
  </si>
  <si>
    <t>CA-2017-169411</t>
  </si>
  <si>
    <t>AC-10615</t>
  </si>
  <si>
    <t>Ann Chong</t>
  </si>
  <si>
    <t>FUR-FU-10001602</t>
  </si>
  <si>
    <t>Eldon Delta Triangular Chair Mat, 52" x 58", Clear</t>
  </si>
  <si>
    <t>CA-2017-112487</t>
  </si>
  <si>
    <t>TC-21535</t>
  </si>
  <si>
    <t>Tracy Collins</t>
  </si>
  <si>
    <t>OFF-BI-10000494</t>
  </si>
  <si>
    <t>Acco Economy Flexible Poly Round Ring Binder</t>
  </si>
  <si>
    <t>CA-2017-134285</t>
  </si>
  <si>
    <t>DS-13180</t>
  </si>
  <si>
    <t>David Smith</t>
  </si>
  <si>
    <t>San Antonio</t>
  </si>
  <si>
    <t>OFF-FA-10000611</t>
  </si>
  <si>
    <t>Binder Clips by OIC</t>
  </si>
  <si>
    <t>OFF-PA-10000304</t>
  </si>
  <si>
    <t>Xerox 1995</t>
  </si>
  <si>
    <t>CA-2017-157980</t>
  </si>
  <si>
    <t>SH-20395</t>
  </si>
  <si>
    <t>Shahid Hopkins</t>
  </si>
  <si>
    <t>TEC-AC-10002567</t>
  </si>
  <si>
    <t>Logitech G602 Wireless Gaming Mouse</t>
  </si>
  <si>
    <t>CA-2017-119564</t>
  </si>
  <si>
    <t>PL-18925</t>
  </si>
  <si>
    <t>Paul Lucas</t>
  </si>
  <si>
    <t>FUR-FU-10003096</t>
  </si>
  <si>
    <t>Master Giant Foot Doorstop, Safety Yellow</t>
  </si>
  <si>
    <t>CA-2017-124296</t>
  </si>
  <si>
    <t>CS-12355</t>
  </si>
  <si>
    <t>Christine Sundaresam</t>
  </si>
  <si>
    <t>TEC-MA-10003183</t>
  </si>
  <si>
    <t>Machines</t>
  </si>
  <si>
    <t>DYMO CardScan Personal V9 Business Card Scanner</t>
  </si>
  <si>
    <t>FUR-CH-10002439</t>
  </si>
  <si>
    <t>Iceberg Nesting Folding Chair, 19w x 6d x 43h</t>
  </si>
  <si>
    <t>CA-2017-137456</t>
  </si>
  <si>
    <t>RB-19465</t>
  </si>
  <si>
    <t>Rick Bensley</t>
  </si>
  <si>
    <t>Fremont</t>
  </si>
  <si>
    <t>CA-2017-127313</t>
  </si>
  <si>
    <t>OFF-ST-10001228</t>
  </si>
  <si>
    <t>Personal File Boxes with Fold-Down Carry Handle</t>
  </si>
  <si>
    <t>FUR-FU-10003798</t>
  </si>
  <si>
    <t>Ultra Door Kickplate, 8"H x 34"W</t>
  </si>
  <si>
    <t>CA-2017-109715</t>
  </si>
  <si>
    <t>AH-10585</t>
  </si>
  <si>
    <t>Angele Hood</t>
  </si>
  <si>
    <t>OFF-PA-10004965</t>
  </si>
  <si>
    <t>Xerox 1921</t>
  </si>
  <si>
    <t>CA-2017-158673</t>
  </si>
  <si>
    <t>Grand Rapids</t>
  </si>
  <si>
    <t>OFF-PA-10000994</t>
  </si>
  <si>
    <t>Xerox 1915</t>
  </si>
  <si>
    <t>CA-2017-127516</t>
  </si>
  <si>
    <t>Nashville</t>
  </si>
  <si>
    <t>Tennessee</t>
  </si>
  <si>
    <t>OFF-ST-10000736</t>
  </si>
  <si>
    <t>Carina Double Wide Media Storage Towers in Natural &amp; Black</t>
  </si>
  <si>
    <t>CA-2017-102407</t>
  </si>
  <si>
    <t>AT-10435</t>
  </si>
  <si>
    <t>Alyssa Tate</t>
  </si>
  <si>
    <t>OFF-AR-10000122</t>
  </si>
  <si>
    <t>Newell 314</t>
  </si>
  <si>
    <t>FUR-TA-10003748</t>
  </si>
  <si>
    <t>Bevis 36 x 72 Conference Tables</t>
  </si>
  <si>
    <t>OFF-AP-10001394</t>
  </si>
  <si>
    <t>Harmony Air Purifier</t>
  </si>
  <si>
    <t>US-2017-136189</t>
  </si>
  <si>
    <t>DC-13285</t>
  </si>
  <si>
    <t>Debra Catini</t>
  </si>
  <si>
    <t>Richmond</t>
  </si>
  <si>
    <t>FUR-FU-10000175</t>
  </si>
  <si>
    <t>DAX Wood Document Frame.</t>
  </si>
  <si>
    <t>CA-2017-130309</t>
  </si>
  <si>
    <t>GB-14575</t>
  </si>
  <si>
    <t>Giulietta Baptist</t>
  </si>
  <si>
    <t>Arlington</t>
  </si>
  <si>
    <t>CA-2017-107748</t>
  </si>
  <si>
    <t>AG-10330</t>
  </si>
  <si>
    <t>Alex Grayson</t>
  </si>
  <si>
    <t>Stockton</t>
  </si>
  <si>
    <t>TEC-PH-10003215</t>
  </si>
  <si>
    <t>Jackery Bar Premium Fast-charging Portable Charger</t>
  </si>
  <si>
    <t>OFF-PA-10002005</t>
  </si>
  <si>
    <t>Xerox 225</t>
  </si>
  <si>
    <t>CA-2017-162565</t>
  </si>
  <si>
    <t>RR-19315</t>
  </si>
  <si>
    <t>Ralph Ritter</t>
  </si>
  <si>
    <t>Aurora</t>
  </si>
  <si>
    <t>OFF-PA-10001937</t>
  </si>
  <si>
    <t>Xerox 21</t>
  </si>
  <si>
    <t>FUR-CH-10003973</t>
  </si>
  <si>
    <t>GuestStacker Chair with Chrome Finish Legs</t>
  </si>
  <si>
    <t>CA-2017-155075</t>
  </si>
  <si>
    <t>GW-14605</t>
  </si>
  <si>
    <t>Giulietta Weimer</t>
  </si>
  <si>
    <t>OFF-BI-10003650</t>
  </si>
  <si>
    <t>GBC DocuBind 300 Electric Binding Machine</t>
  </si>
  <si>
    <t>US-2017-149510</t>
  </si>
  <si>
    <t>MC-17575</t>
  </si>
  <si>
    <t>Matt Collins</t>
  </si>
  <si>
    <t>Fayetteville</t>
  </si>
  <si>
    <t>North Carolina</t>
  </si>
  <si>
    <t>OFF-AP-10002350</t>
  </si>
  <si>
    <t>Belkin F9H710-06 7 Outlet SurgeMaster Surge Protector</t>
  </si>
  <si>
    <t>OFF-BI-10004233</t>
  </si>
  <si>
    <t>GBC Pre-Punched Binding Paper, Plastic, White, 8-1/2" x 11"</t>
  </si>
  <si>
    <t>OFF-PA-10001892</t>
  </si>
  <si>
    <t>Rediform Wirebound "Phone Memo" Message Book, 11 x 5-3/4</t>
  </si>
  <si>
    <t>CA-2017-145219</t>
  </si>
  <si>
    <t>RM-19675</t>
  </si>
  <si>
    <t>Robert Marley</t>
  </si>
  <si>
    <t>TEC-CO-10001449</t>
  </si>
  <si>
    <t>Hewlett Packard LaserJet 3310 Copier</t>
  </si>
  <si>
    <t>OFF-BI-10001670</t>
  </si>
  <si>
    <t>Vinyl Sectional Post Binders</t>
  </si>
  <si>
    <t>CA-2017-143126</t>
  </si>
  <si>
    <t>CM-12655</t>
  </si>
  <si>
    <t>Corinna Mitchell</t>
  </si>
  <si>
    <t>FUR-TA-10002958</t>
  </si>
  <si>
    <t>Bevis Oval Conference Table, Walnut</t>
  </si>
  <si>
    <t>CA-2017-136063</t>
  </si>
  <si>
    <t>SS-20140</t>
  </si>
  <si>
    <t>Saphhira Shifley</t>
  </si>
  <si>
    <t>Oak Park</t>
  </si>
  <si>
    <t>OFF-AR-10000823</t>
  </si>
  <si>
    <t>Newell 307</t>
  </si>
  <si>
    <t>CA-2017-120936</t>
  </si>
  <si>
    <t>Anaheim</t>
  </si>
  <si>
    <t>OFF-ST-10001526</t>
  </si>
  <si>
    <t xml:space="preserve">Iceberg Mobile Mega Data/Printer Cart </t>
  </si>
  <si>
    <t>OFF-SU-10002557</t>
  </si>
  <si>
    <t>Fiskars Spring-Action Scissors</t>
  </si>
  <si>
    <t>CA-2017-114055</t>
  </si>
  <si>
    <t>MH-18115</t>
  </si>
  <si>
    <t>Mick Hernandez</t>
  </si>
  <si>
    <t>Huntsville</t>
  </si>
  <si>
    <t>Alabama</t>
  </si>
  <si>
    <t>OFF-PA-10004381</t>
  </si>
  <si>
    <t>14-7/8 x 11 Blue Bar Computer Printout Paper</t>
  </si>
  <si>
    <t>OFF-FA-10003059</t>
  </si>
  <si>
    <t>Assorted Color Push Pins</t>
  </si>
  <si>
    <t>TEC-PH-10002890</t>
  </si>
  <si>
    <t>AT&amp;T 17929 Lendline Telephone</t>
  </si>
  <si>
    <t>CA-2017-143245</t>
  </si>
  <si>
    <t>AD-10180</t>
  </si>
  <si>
    <t>Alan Dominguez</t>
  </si>
  <si>
    <t>OFF-PA-10001972</t>
  </si>
  <si>
    <t>Xerox 214</t>
  </si>
  <si>
    <t>FUR-CH-10000155</t>
  </si>
  <si>
    <t>Global Comet Stacking Armless Chair</t>
  </si>
  <si>
    <t>CA-2017-106782</t>
  </si>
  <si>
    <t>LP-17095</t>
  </si>
  <si>
    <t>Liz Preis</t>
  </si>
  <si>
    <t>OFF-ST-10004459</t>
  </si>
  <si>
    <t>Tennsco Single-Tier Lockers</t>
  </si>
  <si>
    <t>CA-2017-117926</t>
  </si>
  <si>
    <t>AS-10225</t>
  </si>
  <si>
    <t>Alan Schoenberger</t>
  </si>
  <si>
    <t>OFF-AP-10002670</t>
  </si>
  <si>
    <t>Belkin 8-Outlet Premiere SurgeMaster II Surge Protectors</t>
  </si>
  <si>
    <t>US-2017-122714</t>
  </si>
  <si>
    <t>HG-14965</t>
  </si>
  <si>
    <t>Henry Goldwyn</t>
  </si>
  <si>
    <t>OFF-BI-10001120</t>
  </si>
  <si>
    <t>Ibico EPK-21 Electric Binding System</t>
  </si>
  <si>
    <t>CA-2017-156720</t>
  </si>
  <si>
    <t>JM-15580</t>
  </si>
  <si>
    <t>Jill Matthias</t>
  </si>
  <si>
    <t>Loveland</t>
  </si>
  <si>
    <t>OFF-FA-10003472</t>
  </si>
  <si>
    <t>Bagged Rubber Bands</t>
  </si>
  <si>
    <t>CA-2017-146626</t>
  </si>
  <si>
    <t>FUR-FU-10002501</t>
  </si>
  <si>
    <t>Nu-Dell Executive Frame</t>
  </si>
  <si>
    <t>CA-2017-128734</t>
  </si>
  <si>
    <t>JL-15175</t>
  </si>
  <si>
    <t>James Lanier</t>
  </si>
  <si>
    <t>Chandler</t>
  </si>
  <si>
    <t>Arizona</t>
  </si>
  <si>
    <t>FUR-FU-10001731</t>
  </si>
  <si>
    <t>Acrylic Self-Standing Desk Frames</t>
  </si>
  <si>
    <t>FUR-CH-10001394</t>
  </si>
  <si>
    <t>Global Leather Executive Chair</t>
  </si>
  <si>
    <t>CA-2017-147333</t>
  </si>
  <si>
    <t>KL-16555</t>
  </si>
  <si>
    <t>Kelly Lampkin</t>
  </si>
  <si>
    <t>Arkansas</t>
  </si>
  <si>
    <t>TEC-AC-10004469</t>
  </si>
  <si>
    <t>Microsoft Sculpt Comfort Mouse</t>
  </si>
  <si>
    <t>TEC-AC-10003038</t>
  </si>
  <si>
    <t>Kingston Digital DataTraveler 16GB USB 2.0</t>
  </si>
  <si>
    <t>US-2017-103814</t>
  </si>
  <si>
    <t>LH-16900</t>
  </si>
  <si>
    <t>Lena Hernandez</t>
  </si>
  <si>
    <t>Park Ridge</t>
  </si>
  <si>
    <t>OFF-PA-10001019</t>
  </si>
  <si>
    <t>Xerox 1884</t>
  </si>
  <si>
    <t>CA-2017-108854</t>
  </si>
  <si>
    <t>DM-13345</t>
  </si>
  <si>
    <t>Denise Monton</t>
  </si>
  <si>
    <t>OFF-PA-10003022</t>
  </si>
  <si>
    <t>Standard Line “While You Were Out” Hardbound Telephone Message Book</t>
  </si>
  <si>
    <t>OFF-BI-10002854</t>
  </si>
  <si>
    <t>Performers Binder/Pad Holder, Black</t>
  </si>
  <si>
    <t>OFF-ST-10001837</t>
  </si>
  <si>
    <t>SAFCO Mobile Desk Side File, Wire Frame</t>
  </si>
  <si>
    <t>CA-2017-130631</t>
  </si>
  <si>
    <t>BS-11755</t>
  </si>
  <si>
    <t>Bruce Stewart</t>
  </si>
  <si>
    <t>Edmonds</t>
  </si>
  <si>
    <t>OFF-FA-10000089</t>
  </si>
  <si>
    <t>Acco Glide Clips</t>
  </si>
  <si>
    <t>FUR-FU-10004093</t>
  </si>
  <si>
    <t>Hand-Finished Solid Wood Document Frame</t>
  </si>
  <si>
    <t>CA-2017-116946</t>
  </si>
  <si>
    <t>TS-21505</t>
  </si>
  <si>
    <t>Tony Sayre</t>
  </si>
  <si>
    <t>Parker</t>
  </si>
  <si>
    <t>FUR-FU-10000320</t>
  </si>
  <si>
    <t>OIC Stacking Trays</t>
  </si>
  <si>
    <t>OFF-ST-10002554</t>
  </si>
  <si>
    <t>Tennsco Industrial Shelving</t>
  </si>
  <si>
    <t>FUR-BO-10000468</t>
  </si>
  <si>
    <t>O'Sullivan 2-Shelf Heavy-Duty Bookcases</t>
  </si>
  <si>
    <t>CA-2017-121741</t>
  </si>
  <si>
    <t>YC-21895</t>
  </si>
  <si>
    <t>Yoseph Carroll</t>
  </si>
  <si>
    <t>CA-2017-117667</t>
  </si>
  <si>
    <t>MS-17980</t>
  </si>
  <si>
    <t>Michael Stewart</t>
  </si>
  <si>
    <t>FUR-CH-10004540</t>
  </si>
  <si>
    <t>Global Chrome Stack Chair</t>
  </si>
  <si>
    <t>OFF-AR-10000716</t>
  </si>
  <si>
    <t>DIXON Ticonderoga Erasable Checking Pencils</t>
  </si>
  <si>
    <t>OFF-PA-10002709</t>
  </si>
  <si>
    <t>Xerox 1956</t>
  </si>
  <si>
    <t>TEC-AC-10000580</t>
  </si>
  <si>
    <t>Logitech G13 Programmable Gameboard with LCD Display</t>
  </si>
  <si>
    <t>CA-2017-160885</t>
  </si>
  <si>
    <t>JK-16090</t>
  </si>
  <si>
    <t>Juliana Krohn</t>
  </si>
  <si>
    <t>TEC-PH-10001795</t>
  </si>
  <si>
    <t>ClearOne CHATAttach 160 - speaker phone</t>
  </si>
  <si>
    <t>CA-2017-117324</t>
  </si>
  <si>
    <t>Madison</t>
  </si>
  <si>
    <t>Wisconsin</t>
  </si>
  <si>
    <t>TEC-AC-10003023</t>
  </si>
  <si>
    <t>Logitech G105 Gaming Keyboard</t>
  </si>
  <si>
    <t>OFF-AP-10003590</t>
  </si>
  <si>
    <t>Hoover WindTunnel Plus Canister Vacuum</t>
  </si>
  <si>
    <t>OFF-LA-10003510</t>
  </si>
  <si>
    <t>Avery 4027 File Folder Labels for Dot Matrix Printers, 5000 Labels per Box, White</t>
  </si>
  <si>
    <t>FUR-BO-10003159</t>
  </si>
  <si>
    <t>Sauder Camden County Collection Libraries, Planked Cherry Finish</t>
  </si>
  <si>
    <t>OFF-PA-10002713</t>
  </si>
  <si>
    <t>Adams Phone Message Book, 200 Message Capacity, 8 1/16” x 11”</t>
  </si>
  <si>
    <t>CA-2017-129581</t>
  </si>
  <si>
    <t>KN-16390</t>
  </si>
  <si>
    <t>Katherine Nockton</t>
  </si>
  <si>
    <t>New Bedford</t>
  </si>
  <si>
    <t>Massachusetts</t>
  </si>
  <si>
    <t>TEC-PH-10001527</t>
  </si>
  <si>
    <t>Plantronics MX500i Earset</t>
  </si>
  <si>
    <t>CA-2017-121398</t>
  </si>
  <si>
    <t>FH-14365</t>
  </si>
  <si>
    <t>Fred Hopkins</t>
  </si>
  <si>
    <t>OFF-BI-10001718</t>
  </si>
  <si>
    <t>GBC DocuBind P50 Personal Binding Machine</t>
  </si>
  <si>
    <t>OFF-ST-10002756</t>
  </si>
  <si>
    <t>Tennsco Stur-D-Stor Boltless Shelving, 5 Shelves, 24" Deep, Sand</t>
  </si>
  <si>
    <t>US-2017-162068</t>
  </si>
  <si>
    <t>PC-18745</t>
  </si>
  <si>
    <t>Pamela Coakley</t>
  </si>
  <si>
    <t>OFF-BI-10002813</t>
  </si>
  <si>
    <t>Avery Reinforcements for Hole-Punch Pages</t>
  </si>
  <si>
    <t>CA-2017-152660</t>
  </si>
  <si>
    <t>CB-12415</t>
  </si>
  <si>
    <t>Christy Brittain</t>
  </si>
  <si>
    <t>OFF-ST-10000532</t>
  </si>
  <si>
    <t>Advantus Rolling Drawer Organizers</t>
  </si>
  <si>
    <t>CA-2017-101322</t>
  </si>
  <si>
    <t>Long Beach</t>
  </si>
  <si>
    <t>FUR-CH-10003968</t>
  </si>
  <si>
    <t>Novimex Turbo Task Chair</t>
  </si>
  <si>
    <t>CA-2017-107986</t>
  </si>
  <si>
    <t>MW-18220</t>
  </si>
  <si>
    <t>Mitch Webber</t>
  </si>
  <si>
    <t>OFF-ST-10001325</t>
  </si>
  <si>
    <t>Sterilite Officeware Hinged File Box</t>
  </si>
  <si>
    <t>CA-2017-104927</t>
  </si>
  <si>
    <t>OFF-PA-10000019</t>
  </si>
  <si>
    <t>Xerox 1931</t>
  </si>
  <si>
    <t>OFF-PA-10000176</t>
  </si>
  <si>
    <t>Xerox 1887</t>
  </si>
  <si>
    <t>CA-2017-145660</t>
  </si>
  <si>
    <t>MG-17650</t>
  </si>
  <si>
    <t>Matthew Grinstein</t>
  </si>
  <si>
    <t>Marion</t>
  </si>
  <si>
    <t>FUR-FU-10002885</t>
  </si>
  <si>
    <t>Magna Visual Magnetic Picture Hangers</t>
  </si>
  <si>
    <t>CA-2017-140627</t>
  </si>
  <si>
    <t>DK-12985</t>
  </si>
  <si>
    <t>Darren Koutras</t>
  </si>
  <si>
    <t>Hendersonville</t>
  </si>
  <si>
    <t>FUR-FU-10000087</t>
  </si>
  <si>
    <t>Executive Impressions 14" Two-Color Numerals Wall Clock</t>
  </si>
  <si>
    <t>OFF-AR-10000422</t>
  </si>
  <si>
    <t>Pencil and Crayon Sharpener</t>
  </si>
  <si>
    <t>CA-2017-102379</t>
  </si>
  <si>
    <t>BB-11545</t>
  </si>
  <si>
    <t>Brenda Bowman</t>
  </si>
  <si>
    <t>TEC-PH-10001448</t>
  </si>
  <si>
    <t>Anker Astro 15000mAh USB Portable Charger</t>
  </si>
  <si>
    <t>FUR-CH-10004983</t>
  </si>
  <si>
    <t>Office Star - Mid Back Dual function Ergonomic High Back Chair with 2-Way Adjustable Arms</t>
  </si>
  <si>
    <t>OFF-AR-10004022</t>
  </si>
  <si>
    <t>Panasonic KP-380BK Classic Electric Pencil Sharpener</t>
  </si>
  <si>
    <t>CA-2017-149706</t>
  </si>
  <si>
    <t>AS-10285</t>
  </si>
  <si>
    <t>Alejandro Savely</t>
  </si>
  <si>
    <t>Palatine</t>
  </si>
  <si>
    <t>TEC-AC-10001284</t>
  </si>
  <si>
    <t>Enermax Briskie RF Wireless Keyboard and Mouse Combo</t>
  </si>
  <si>
    <t>CA-2017-143756</t>
  </si>
  <si>
    <t>ME-17725</t>
  </si>
  <si>
    <t>Max Engle</t>
  </si>
  <si>
    <t>Salem</t>
  </si>
  <si>
    <t>FUR-CH-10001854</t>
  </si>
  <si>
    <t>Office Star - Professional Matrix Back Chair with 2-to-1 Synchro Tilt and Mesh Fabric Seat</t>
  </si>
  <si>
    <t>US-2017-113992</t>
  </si>
  <si>
    <t>LC-16885</t>
  </si>
  <si>
    <t>Lena Creighton</t>
  </si>
  <si>
    <t>Plano</t>
  </si>
  <si>
    <t>FUR-TA-10000577</t>
  </si>
  <si>
    <t>Bretford CR4500 Series Slim Rectangular Table</t>
  </si>
  <si>
    <t>CA-2017-102197</t>
  </si>
  <si>
    <t>DK-13150</t>
  </si>
  <si>
    <t>David Kendrick</t>
  </si>
  <si>
    <t>OFF-PA-10004156</t>
  </si>
  <si>
    <t>Xerox 188</t>
  </si>
  <si>
    <t>US-2017-107384</t>
  </si>
  <si>
    <t>Minnesota</t>
  </si>
  <si>
    <t>OFF-AR-10001315</t>
  </si>
  <si>
    <t>Newell 310</t>
  </si>
  <si>
    <t>TEC-AC-10004595</t>
  </si>
  <si>
    <t>First Data TMFD35 PIN Pad</t>
  </si>
  <si>
    <t>TEC-AC-10001539</t>
  </si>
  <si>
    <t>Logitech G430 Surround Sound Gaming Headset with Dolby 7.1 Technology</t>
  </si>
  <si>
    <t>CA-2017-161578</t>
  </si>
  <si>
    <t>OFF-PA-10002986</t>
  </si>
  <si>
    <t>Xerox 1898</t>
  </si>
  <si>
    <t>OFF-ST-10002289</t>
  </si>
  <si>
    <t>Safco Wire Cube Shelving System, For Use as 4 or 5 14" Cubes, Black</t>
  </si>
  <si>
    <t>CA-2017-104108</t>
  </si>
  <si>
    <t>RP-19855</t>
  </si>
  <si>
    <t>Roy Phan</t>
  </si>
  <si>
    <t>OFF-AR-10000817</t>
  </si>
  <si>
    <t>Manco Dry-Lighter Erasable Highlighter</t>
  </si>
  <si>
    <t>CA-2017-107629</t>
  </si>
  <si>
    <t>DB-13060</t>
  </si>
  <si>
    <t>Dave Brooks</t>
  </si>
  <si>
    <t>Skokie</t>
  </si>
  <si>
    <t>FUR-FU-10002298</t>
  </si>
  <si>
    <t>Rubbermaid ClusterMat Chairmats, Mat Size- 66" x 60", Lip 20" x 11" -90 Degree Angle</t>
  </si>
  <si>
    <t>FUR-FU-10004091</t>
  </si>
  <si>
    <t>Howard Miller 13" Diameter Goldtone Round Wall Clock</t>
  </si>
  <si>
    <t>OFF-AR-10002987</t>
  </si>
  <si>
    <t>Prismacolor Color Pencil Set</t>
  </si>
  <si>
    <t>CA-2017-100230</t>
  </si>
  <si>
    <t>AA-10375</t>
  </si>
  <si>
    <t>Allen Armold</t>
  </si>
  <si>
    <t>OFF-BI-10002498</t>
  </si>
  <si>
    <t>Clear Mylar Reinforcing Strips</t>
  </si>
  <si>
    <t>OFF-PA-10002245</t>
  </si>
  <si>
    <t>Xerox 1895</t>
  </si>
  <si>
    <t>TEC-PH-10004522</t>
  </si>
  <si>
    <t>Dexim XPower Skin Super-Thin Power Case for iPhone 5 - Black</t>
  </si>
  <si>
    <t>CA-2017-165715</t>
  </si>
  <si>
    <t>BG-11035</t>
  </si>
  <si>
    <t>Barry Gonzalez</t>
  </si>
  <si>
    <t>Greensboro</t>
  </si>
  <si>
    <t>OFF-AR-10003903</t>
  </si>
  <si>
    <t>Sanford 52201 APSCO Electric Pencil Sharpener</t>
  </si>
  <si>
    <t>CA-2017-139402</t>
  </si>
  <si>
    <t>NC-18535</t>
  </si>
  <si>
    <t>Nick Crebassa</t>
  </si>
  <si>
    <t>Phoenix</t>
  </si>
  <si>
    <t>OFF-PA-10004359</t>
  </si>
  <si>
    <t>Multicolor Computer Printout Paper</t>
  </si>
  <si>
    <t>OFF-BI-10000279</t>
  </si>
  <si>
    <t>Acco Recycled 2" Capacity Laser Printer Hanging Data Binders</t>
  </si>
  <si>
    <t>CA-2017-162880</t>
  </si>
  <si>
    <t>GD-14590</t>
  </si>
  <si>
    <t>Giulietta Dortch</t>
  </si>
  <si>
    <t>Everett</t>
  </si>
  <si>
    <t>OFF-BI-10003314</t>
  </si>
  <si>
    <t>Tuff Stuff Recycled Round Ring Binders</t>
  </si>
  <si>
    <t>CA-2017-163860</t>
  </si>
  <si>
    <t>LO-17170</t>
  </si>
  <si>
    <t>Lori Olson</t>
  </si>
  <si>
    <t>Peoria</t>
  </si>
  <si>
    <t>OFF-BI-10003784</t>
  </si>
  <si>
    <t>Computer Printout Index Tabs</t>
  </si>
  <si>
    <t>FUR-FU-10004586</t>
  </si>
  <si>
    <t>G.E. Longer-Life Indoor Recessed Floodlight Bulbs</t>
  </si>
  <si>
    <t>FUR-CH-10004698</t>
  </si>
  <si>
    <t>Padded Folding Chairs, Black, 4/Carton</t>
  </si>
  <si>
    <t>US-2017-162670</t>
  </si>
  <si>
    <t>MF-18250</t>
  </si>
  <si>
    <t>Monica Federle</t>
  </si>
  <si>
    <t>Little Rock</t>
  </si>
  <si>
    <t>OFF-ST-10001328</t>
  </si>
  <si>
    <t>Personal Filing Tote with Lid, Black/Gray</t>
  </si>
  <si>
    <t>TEC-PH-10003601</t>
  </si>
  <si>
    <t>Ativa D5772 2-Line 5.8GHz Digital Expandable Corded/Cordless Phone System with Answering &amp; Caller ID/Call Waiting, Black/Silver</t>
  </si>
  <si>
    <t>OFF-PA-10001994</t>
  </si>
  <si>
    <t>Ink Jet Note and Greeting Cards, 8-1/2" x 5-1/2" Card Size</t>
  </si>
  <si>
    <t>OFF-EN-10001453</t>
  </si>
  <si>
    <t>Tyvek Interoffice Envelopes, 9 1/2" x 12 1/2", 100/Box</t>
  </si>
  <si>
    <t>CA-2017-138618</t>
  </si>
  <si>
    <t>MY-17380</t>
  </si>
  <si>
    <t>Maribeth Yedwab</t>
  </si>
  <si>
    <t>OFF-PA-10000520</t>
  </si>
  <si>
    <t>Xerox 201</t>
  </si>
  <si>
    <t>US-2017-149006</t>
  </si>
  <si>
    <t>BN-11470</t>
  </si>
  <si>
    <t>Brad Norvell</t>
  </si>
  <si>
    <t>Brentwood</t>
  </si>
  <si>
    <t>OFF-ST-10003221</t>
  </si>
  <si>
    <t>Staple magnet</t>
  </si>
  <si>
    <t>US-2017-135503</t>
  </si>
  <si>
    <t>JE-16165</t>
  </si>
  <si>
    <t>Justin Ellison</t>
  </si>
  <si>
    <t>North Charleston</t>
  </si>
  <si>
    <t>FUR-FU-10002364</t>
  </si>
  <si>
    <t>Eldon Expressions Wood Desk Accessories, Oak</t>
  </si>
  <si>
    <t>CA-2017-165099</t>
  </si>
  <si>
    <t>DK-13375</t>
  </si>
  <si>
    <t>Dennis Kane</t>
  </si>
  <si>
    <t>Abilene</t>
  </si>
  <si>
    <t>OFF-AP-10001634</t>
  </si>
  <si>
    <t>Hoover Commercial Lightweight Upright Vacuum</t>
  </si>
  <si>
    <t>CA-2017-117443</t>
  </si>
  <si>
    <t>JB-15400</t>
  </si>
  <si>
    <t>Jennifer Braxton</t>
  </si>
  <si>
    <t>Rockford</t>
  </si>
  <si>
    <t>OFF-BI-10004002</t>
  </si>
  <si>
    <t>Wilson Jones International Size A4 Ring Binders</t>
  </si>
  <si>
    <t>CA-2017-141201</t>
  </si>
  <si>
    <t>Salinas</t>
  </si>
  <si>
    <t>FUR-BO-10001519</t>
  </si>
  <si>
    <t>O'Sullivan 3-Shelf Heavy-Duty Bookcases</t>
  </si>
  <si>
    <t>CA-2017-103443</t>
  </si>
  <si>
    <t>AT-10735</t>
  </si>
  <si>
    <t>Annie Thurman</t>
  </si>
  <si>
    <t>OFF-ST-10002276</t>
  </si>
  <si>
    <t>Safco Steel Mobile File Cart</t>
  </si>
  <si>
    <t>FUR-FU-10000308</t>
  </si>
  <si>
    <t>Deflect-o Glass Clear Studded Chair Mats</t>
  </si>
  <si>
    <t>CA-2017-166926</t>
  </si>
  <si>
    <t>SO-20335</t>
  </si>
  <si>
    <t>Sean O'Donnell</t>
  </si>
  <si>
    <t>OFF-PA-10001593</t>
  </si>
  <si>
    <t>Xerox 1947</t>
  </si>
  <si>
    <t>FUR-BO-10002598</t>
  </si>
  <si>
    <t>Hon Metal Bookcases, Putty</t>
  </si>
  <si>
    <t>CA-2017-100412</t>
  </si>
  <si>
    <t>SR-20425</t>
  </si>
  <si>
    <t>Sharelle Roach</t>
  </si>
  <si>
    <t>Tuscaloosa</t>
  </si>
  <si>
    <t>FUR-CH-10002647</t>
  </si>
  <si>
    <t>Situations Contoured Folding Chairs, 4/Set</t>
  </si>
  <si>
    <t>CA-2017-142909</t>
  </si>
  <si>
    <t>Mesa</t>
  </si>
  <si>
    <t>FUR-TA-10003008</t>
  </si>
  <si>
    <t>Lesro Round Back Collection Coffee Table, End Table</t>
  </si>
  <si>
    <t>CA-2017-109183</t>
  </si>
  <si>
    <t>LR-16915</t>
  </si>
  <si>
    <t>Lena Radford</t>
  </si>
  <si>
    <t>TEC-MA-10001856</t>
  </si>
  <si>
    <t>Okidata C610n Printer</t>
  </si>
  <si>
    <t>US-2017-126053</t>
  </si>
  <si>
    <t>CS-11950</t>
  </si>
  <si>
    <t>Carlos Soltero</t>
  </si>
  <si>
    <t>CA-2017-168389</t>
  </si>
  <si>
    <t>FUR-TA-10004289</t>
  </si>
  <si>
    <t>BoxOffice By Design Rectangular and Half-Moon Meeting Room Tables</t>
  </si>
  <si>
    <t>TEC-PH-10003555</t>
  </si>
  <si>
    <t>Motorola HK250 Universal Bluetooth Headset</t>
  </si>
  <si>
    <t>FUR-CH-10000225</t>
  </si>
  <si>
    <t>Global Geo Office Task Chair, Gray</t>
  </si>
  <si>
    <t>CA-2017-160031</t>
  </si>
  <si>
    <t>LT-16765</t>
  </si>
  <si>
    <t>Larry Tron</t>
  </si>
  <si>
    <t>OFF-PA-10000241</t>
  </si>
  <si>
    <t>IBM Multi-Purpose Copy Paper, 8 1/2 x 11", Case</t>
  </si>
  <si>
    <t>CA-2017-135111</t>
  </si>
  <si>
    <t>CS-12400</t>
  </si>
  <si>
    <t>Christopher Schild</t>
  </si>
  <si>
    <t>Fargo</t>
  </si>
  <si>
    <t>North Dakota</t>
  </si>
  <si>
    <t>OFF-AR-10004707</t>
  </si>
  <si>
    <t>OFF-BI-10004040</t>
  </si>
  <si>
    <t>Wilson Jones Impact Binders</t>
  </si>
  <si>
    <t>US-2017-167920</t>
  </si>
  <si>
    <t>JL-15835</t>
  </si>
  <si>
    <t>John Lee</t>
  </si>
  <si>
    <t>OFF-BI-10004236</t>
  </si>
  <si>
    <t>XtraLife ClearVue Slant-D Ring Binder, White, 3"</t>
  </si>
  <si>
    <t>OFF-AP-10000159</t>
  </si>
  <si>
    <t>Belkin F9M820V08 8 Outlet Surge</t>
  </si>
  <si>
    <t>OFF-ST-10004963</t>
  </si>
  <si>
    <t>Eldon Gobal File Keepers</t>
  </si>
  <si>
    <t>OFF-LA-10004409</t>
  </si>
  <si>
    <t>Avery 492</t>
  </si>
  <si>
    <t>TEC-CO-10001046</t>
  </si>
  <si>
    <t>Canon Imageclass D680 Copier / Fax</t>
  </si>
  <si>
    <t>CA-2017-103415</t>
  </si>
  <si>
    <t>MV-17485</t>
  </si>
  <si>
    <t>Mark Van Huff</t>
  </si>
  <si>
    <t>FUR-FU-10000820</t>
  </si>
  <si>
    <t>Tensor Brushed Steel Torchiere Floor Lamp</t>
  </si>
  <si>
    <t>US-2017-112347</t>
  </si>
  <si>
    <t>BS-11380</t>
  </si>
  <si>
    <t>Bill Stewart</t>
  </si>
  <si>
    <t>OFF-BI-10003707</t>
  </si>
  <si>
    <t>Aluminum Screw Posts</t>
  </si>
  <si>
    <t>FUR-BO-10003546</t>
  </si>
  <si>
    <t>Hon 4-Shelf Metal Bookcases</t>
  </si>
  <si>
    <t>TEC-PH-10000213</t>
  </si>
  <si>
    <t>Seidio BD2-HK3IPH5-BK DILEX Case and Holster Combo for Apple iPhone 5/5s - Black</t>
  </si>
  <si>
    <t>FUR-FU-10001488</t>
  </si>
  <si>
    <t>Tenex 46" x 60" Computer Anti-Static Chairmat, Rectangular Shaped</t>
  </si>
  <si>
    <t>TEC-PH-10004833</t>
  </si>
  <si>
    <t>Macally Suction Cup Mount</t>
  </si>
  <si>
    <t>CA-2017-121195</t>
  </si>
  <si>
    <t>NS-18505</t>
  </si>
  <si>
    <t>Neola Schneider</t>
  </si>
  <si>
    <t>OFF-ST-10000585</t>
  </si>
  <si>
    <t>Economy Rollaway Files</t>
  </si>
  <si>
    <t>US-2017-158526</t>
  </si>
  <si>
    <t>KH-16360</t>
  </si>
  <si>
    <t>Katherine Hughes</t>
  </si>
  <si>
    <t>OFF-BI-10002414</t>
  </si>
  <si>
    <t>GBC ProClick Spines for 32-Hole Punch</t>
  </si>
  <si>
    <t>OFF-AR-10003696</t>
  </si>
  <si>
    <t>Panasonic KP-350BK Electric Pencil Sharpener with Auto Stop</t>
  </si>
  <si>
    <t>FUR-CH-10004495</t>
  </si>
  <si>
    <t>Global Leather and Oak Executive Chair, Black</t>
  </si>
  <si>
    <t>FUR-CH-10001270</t>
  </si>
  <si>
    <t>Harbour Creations Steel Folding Chair</t>
  </si>
  <si>
    <t>CA-2017-151799</t>
  </si>
  <si>
    <t>BF-11170</t>
  </si>
  <si>
    <t>Ben Ferrer</t>
  </si>
  <si>
    <t>Lawrence</t>
  </si>
  <si>
    <t>TEC-CO-10002313</t>
  </si>
  <si>
    <t>Canon PC1080F Personal Copier</t>
  </si>
  <si>
    <t>OFF-SU-10001664</t>
  </si>
  <si>
    <t>Acme Office Executive Series Stainless Steel Trimmers</t>
  </si>
  <si>
    <t>OFF-FA-10001332</t>
  </si>
  <si>
    <t>Acco Banker's Clasps, 5 3/4"-Long</t>
  </si>
  <si>
    <t>FUR-TA-10003473</t>
  </si>
  <si>
    <t>Bretford Rectangular Conference Table Tops</t>
  </si>
  <si>
    <t>CA-2017-108287</t>
  </si>
  <si>
    <t>Charlotte</t>
  </si>
  <si>
    <t>CA-2017-123071</t>
  </si>
  <si>
    <t>OFF-PA-10003729</t>
  </si>
  <si>
    <t>Xerox 1998</t>
  </si>
  <si>
    <t>CA-2017-152436</t>
  </si>
  <si>
    <t>CW-11905</t>
  </si>
  <si>
    <t>Carl Weiss</t>
  </si>
  <si>
    <t>Cranston</t>
  </si>
  <si>
    <t>OFF-ST-10000036</t>
  </si>
  <si>
    <t>Recycled Data-Pak for Archival Bound Computer Printouts, 12-1/2 x 12-1/2 x 16</t>
  </si>
  <si>
    <t>CA-2017-135587</t>
  </si>
  <si>
    <t>BH-11710</t>
  </si>
  <si>
    <t>Brosina Hoffman</t>
  </si>
  <si>
    <t>Hattiesburg</t>
  </si>
  <si>
    <t>OFF-AP-10004540</t>
  </si>
  <si>
    <t>Eureka The Boss Lite 10-Amp Upright Vacuum, Blue</t>
  </si>
  <si>
    <t>TEC-AC-10001266</t>
  </si>
  <si>
    <t>Memorex Micro Travel Drive 8 GB</t>
  </si>
  <si>
    <t>CA-2017-118017</t>
  </si>
  <si>
    <t>LC-16870</t>
  </si>
  <si>
    <t>Lena Cacioppo</t>
  </si>
  <si>
    <t>Thornton</t>
  </si>
  <si>
    <t>OFF-AR-10003856</t>
  </si>
  <si>
    <t>Newell 344</t>
  </si>
  <si>
    <t>TEC-AC-10002006</t>
  </si>
  <si>
    <t>Memorex Micro Travel Drive 16 GB</t>
  </si>
  <si>
    <t>OFF-PA-10002246</t>
  </si>
  <si>
    <t>Wirebound Four 2-3/4 x 5 Forms per Page, 400 Sets per Book</t>
  </si>
  <si>
    <t>OFF-SU-10004782</t>
  </si>
  <si>
    <t>Elite 5" Scissors</t>
  </si>
  <si>
    <t>FUR-FU-10004351</t>
  </si>
  <si>
    <t>FUR-FU-10004270</t>
  </si>
  <si>
    <t>Eldon Image Series Desk Accessories, Burgundy</t>
  </si>
  <si>
    <t>FUR-FU-10004053</t>
  </si>
  <si>
    <t>DAX Two-Tone Silver Metal Document Frame</t>
  </si>
  <si>
    <t>CA-2017-134194</t>
  </si>
  <si>
    <t>GA-14725</t>
  </si>
  <si>
    <t>Guy Armstrong</t>
  </si>
  <si>
    <t>OFF-SU-10000946</t>
  </si>
  <si>
    <t>Staple remover</t>
  </si>
  <si>
    <t>OFF-AR-10001615</t>
  </si>
  <si>
    <t>Newell 34</t>
  </si>
  <si>
    <t>OFF-BI-10001116</t>
  </si>
  <si>
    <t>Wilson Jones 1" Hanging DublLock Ring Binders</t>
  </si>
  <si>
    <t>CA-2017-122798</t>
  </si>
  <si>
    <t>Albuquerque</t>
  </si>
  <si>
    <t>OFF-ST-10003058</t>
  </si>
  <si>
    <t>Eldon Mobile Mega Data Cart  Mega Stackable  Add-On Trays</t>
  </si>
  <si>
    <t>OFF-PA-10004239</t>
  </si>
  <si>
    <t>Xerox 1953</t>
  </si>
  <si>
    <t>US-2017-167570</t>
  </si>
  <si>
    <t>EG-13900</t>
  </si>
  <si>
    <t>Emily Grady</t>
  </si>
  <si>
    <t>FUR-CH-10003396</t>
  </si>
  <si>
    <t>Global Deluxe Steno Chair</t>
  </si>
  <si>
    <t>CA-2017-136238</t>
  </si>
  <si>
    <t>KB-16240</t>
  </si>
  <si>
    <t>Karen Bern</t>
  </si>
  <si>
    <t>Odessa</t>
  </si>
  <si>
    <t>OFF-PA-10004285</t>
  </si>
  <si>
    <t>Xerox 1959</t>
  </si>
  <si>
    <t>CA-2017-149699</t>
  </si>
  <si>
    <t>CM-12115</t>
  </si>
  <si>
    <t>Chad McGuire</t>
  </si>
  <si>
    <t>CA-2017-153227</t>
  </si>
  <si>
    <t>CS-12250</t>
  </si>
  <si>
    <t>Chris Selesnick</t>
  </si>
  <si>
    <t>OFF-PA-10001838</t>
  </si>
  <si>
    <t>Adams Telephone Message Book W/Dividers/Space For Phone Numbers, 5 1/4"X8 1/2", 300/Messages</t>
  </si>
  <si>
    <t>CA-2017-110625</t>
  </si>
  <si>
    <t>JB-16045</t>
  </si>
  <si>
    <t>Julia Barnett</t>
  </si>
  <si>
    <t>Danbury</t>
  </si>
  <si>
    <t>FUR-FU-10001473</t>
  </si>
  <si>
    <t>DAX Wood Document Frame</t>
  </si>
  <si>
    <t>CA-2017-158736</t>
  </si>
  <si>
    <t>TT-21460</t>
  </si>
  <si>
    <t>Tonja Turnell</t>
  </si>
  <si>
    <t>OFF-AR-10002578</t>
  </si>
  <si>
    <t>Newell 335</t>
  </si>
  <si>
    <t>CA-2017-118003</t>
  </si>
  <si>
    <t>DO-13645</t>
  </si>
  <si>
    <t>Doug O'Connell</t>
  </si>
  <si>
    <t>FUR-FU-10002506</t>
  </si>
  <si>
    <t>Tensor "Hersey Kiss" Styled Floor Lamp</t>
  </si>
  <si>
    <t>FUR-CH-10004860</t>
  </si>
  <si>
    <t>Global Low Back Tilter Chair</t>
  </si>
  <si>
    <t>CA-2017-146164</t>
  </si>
  <si>
    <t>CM-12190</t>
  </si>
  <si>
    <t>Charlotte Melton</t>
  </si>
  <si>
    <t>FUR-TA-10004915</t>
  </si>
  <si>
    <t>Office Impressions End Table, 20-1/2"H x 24"W x 20"D</t>
  </si>
  <si>
    <t>US-2017-132927</t>
  </si>
  <si>
    <t>RD-19720</t>
  </si>
  <si>
    <t>Roger Demir</t>
  </si>
  <si>
    <t>CA-2017-147767</t>
  </si>
  <si>
    <t>US-2017-131961</t>
  </si>
  <si>
    <t>MJ-17740</t>
  </si>
  <si>
    <t>Max Jones</t>
  </si>
  <si>
    <t>TEC-PH-10001924</t>
  </si>
  <si>
    <t>iHome FM Clock Radio with Lightning Dock</t>
  </si>
  <si>
    <t>CA-2017-135377</t>
  </si>
  <si>
    <t>BP-11095</t>
  </si>
  <si>
    <t>Bart Pistole</t>
  </si>
  <si>
    <t>CA-2017-156664</t>
  </si>
  <si>
    <t>BP-11290</t>
  </si>
  <si>
    <t>Beth Paige</t>
  </si>
  <si>
    <t>OFF-BI-10004209</t>
  </si>
  <si>
    <t>Fellowes Twister Kit, Gray/Clear, 3/pkg</t>
  </si>
  <si>
    <t>OFF-PA-10002222</t>
  </si>
  <si>
    <t>Xerox Color Copier Paper, 11" x 17", Ream</t>
  </si>
  <si>
    <t>OFF-AP-10004487</t>
  </si>
  <si>
    <t>Kensington 4 Outlet MasterPiece Compact Power Control Center</t>
  </si>
  <si>
    <t>CA-2017-163671</t>
  </si>
  <si>
    <t>DP-13105</t>
  </si>
  <si>
    <t>Dave Poirier</t>
  </si>
  <si>
    <t>Meridian</t>
  </si>
  <si>
    <t>Idaho</t>
  </si>
  <si>
    <t>OFF-BI-10001679</t>
  </si>
  <si>
    <t>GBC Instant Index System for Binding Systems</t>
  </si>
  <si>
    <t>CA-2017-101805</t>
  </si>
  <si>
    <t>SH-19975</t>
  </si>
  <si>
    <t>Sally Hughsby</t>
  </si>
  <si>
    <t>FUR-FU-10000023</t>
  </si>
  <si>
    <t>Eldon Wave Desk Accessories</t>
  </si>
  <si>
    <t>CA-2017-103968</t>
  </si>
  <si>
    <t>ML-17755</t>
  </si>
  <si>
    <t>Max Ludwig</t>
  </si>
  <si>
    <t>FUR-FU-10003394</t>
  </si>
  <si>
    <t>Tenex "The Solids" Textured Chair Mats</t>
  </si>
  <si>
    <t>CA-2017-143252</t>
  </si>
  <si>
    <t>HE-14800</t>
  </si>
  <si>
    <t>Harold Engle</t>
  </si>
  <si>
    <t>Milwaukee</t>
  </si>
  <si>
    <t>FUR-FU-10001057</t>
  </si>
  <si>
    <t>Tensor Track Tree Floor Lamp</t>
  </si>
  <si>
    <t>TEC-AC-10002331</t>
  </si>
  <si>
    <t>Maxell 74 Minute CDR, 10/Pack</t>
  </si>
  <si>
    <t>CA-2017-148355</t>
  </si>
  <si>
    <t>OFF-BI-10000201</t>
  </si>
  <si>
    <t>Avery Triangle Shaped Sheet Lifters, Black, 2/Pack</t>
  </si>
  <si>
    <t>CA-2017-150910</t>
  </si>
  <si>
    <t>JL-15130</t>
  </si>
  <si>
    <t>Jack Lebron</t>
  </si>
  <si>
    <t>FUR-TA-10002903</t>
  </si>
  <si>
    <t>Bevis Round Bullnose 29" High Table Top</t>
  </si>
  <si>
    <t>OFF-ST-10000918</t>
  </si>
  <si>
    <t>Crate-A-Files</t>
  </si>
  <si>
    <t>OFF-AR-10001419</t>
  </si>
  <si>
    <t>Newell 325</t>
  </si>
  <si>
    <t>OFF-AP-10003266</t>
  </si>
  <si>
    <t>Holmes Replacement Filter for HEPA Air Cleaner, Large Room</t>
  </si>
  <si>
    <t>CA-2017-105620</t>
  </si>
  <si>
    <t>JH-15430</t>
  </si>
  <si>
    <t>Jennifer Halladay</t>
  </si>
  <si>
    <t>Hialeah</t>
  </si>
  <si>
    <t>TEC-MA-10004626</t>
  </si>
  <si>
    <t>Lexmark 20R1285 X6650 Wireless All-in-One Printer</t>
  </si>
  <si>
    <t>CA-2017-157469</t>
  </si>
  <si>
    <t>ES-14080</t>
  </si>
  <si>
    <t>Erin Smith</t>
  </si>
  <si>
    <t>Lakewood</t>
  </si>
  <si>
    <t>OFF-AR-10001662</t>
  </si>
  <si>
    <t>Rogers Handheld Barrel Pencil Sharpener</t>
  </si>
  <si>
    <t>TEC-PH-10004531</t>
  </si>
  <si>
    <t>AT&amp;T CL2909</t>
  </si>
  <si>
    <t>CA-2017-137463</t>
  </si>
  <si>
    <t>Sunnyvale</t>
  </si>
  <si>
    <t>OFF-BI-10003196</t>
  </si>
  <si>
    <t>Accohide Poly Flexible Ring Binders</t>
  </si>
  <si>
    <t>TEC-AC-10000358</t>
  </si>
  <si>
    <t>Imation Secure Drive + Hardware Encrypted USB flash drive - 16 GB</t>
  </si>
  <si>
    <t>TEC-AC-10000057</t>
  </si>
  <si>
    <t>Microsoft Natural Ergonomic Keyboard 4000</t>
  </si>
  <si>
    <t>OFF-AR-10001988</t>
  </si>
  <si>
    <t>Bulldog Table or Wall-Mount Pencil Sharpener</t>
  </si>
  <si>
    <t>OFF-LA-10003498</t>
  </si>
  <si>
    <t>Avery 475</t>
  </si>
  <si>
    <t>CA-2017-147550</t>
  </si>
  <si>
    <t>KE-16420</t>
  </si>
  <si>
    <t>Katrina Edelman</t>
  </si>
  <si>
    <t>FUR-FU-10001918</t>
  </si>
  <si>
    <t>C-Line Cubicle Keepers Polyproplyene Holder With Velcro Backings</t>
  </si>
  <si>
    <t>CA-2017-142776</t>
  </si>
  <si>
    <t>RS-19870</t>
  </si>
  <si>
    <t>Roy Skaria</t>
  </si>
  <si>
    <t>OFF-EN-10003160</t>
  </si>
  <si>
    <t>Pastel Pink Envelopes</t>
  </si>
  <si>
    <t>OFF-BI-10002012</t>
  </si>
  <si>
    <t>Wilson Jones Easy Flow II Sheet Lifters</t>
  </si>
  <si>
    <t>CA-2017-122539</t>
  </si>
  <si>
    <t>SC-20305</t>
  </si>
  <si>
    <t>Sean Christensen</t>
  </si>
  <si>
    <t>OFF-LA-10004853</t>
  </si>
  <si>
    <t>Avery 483</t>
  </si>
  <si>
    <t>OFF-BI-10001759</t>
  </si>
  <si>
    <t>Acco Pressboard Covers with Storage Hooks, 14 7/8" x 11", Dark Blue</t>
  </si>
  <si>
    <t>FUR-CH-10003379</t>
  </si>
  <si>
    <t>Global Commerce Series High-Back Swivel/Tilt Chairs</t>
  </si>
  <si>
    <t>CA-2017-108756</t>
  </si>
  <si>
    <t>East Orange</t>
  </si>
  <si>
    <t>TEC-AC-10003237</t>
  </si>
  <si>
    <t>Memorex Micro Travel Drive 4 GB</t>
  </si>
  <si>
    <t>CA-2017-155362</t>
  </si>
  <si>
    <t>Eau Claire</t>
  </si>
  <si>
    <t>OFF-ST-10001031</t>
  </si>
  <si>
    <t>Adjustable Personal File Tote</t>
  </si>
  <si>
    <t>US-2017-110149</t>
  </si>
  <si>
    <t>WB-21850</t>
  </si>
  <si>
    <t>William Brown</t>
  </si>
  <si>
    <t>OFF-BI-10000014</t>
  </si>
  <si>
    <t>Heavy-Duty E-Z-D Binders</t>
  </si>
  <si>
    <t>FUR-FU-10001475</t>
  </si>
  <si>
    <t>Contract Clock, 14", Brown</t>
  </si>
  <si>
    <t>US-2017-125213</t>
  </si>
  <si>
    <t>NB-18655</t>
  </si>
  <si>
    <t>Nona Balk</t>
  </si>
  <si>
    <t>OFF-FA-10001561</t>
  </si>
  <si>
    <t>Stockwell Push Pins</t>
  </si>
  <si>
    <t>CA-2017-156958</t>
  </si>
  <si>
    <t>PB-18805</t>
  </si>
  <si>
    <t>Patrick Bzostek</t>
  </si>
  <si>
    <t>FUR-FU-10003268</t>
  </si>
  <si>
    <t>Eldon Radial Chair Mat for Low to Medium Pile Carpets</t>
  </si>
  <si>
    <t>OFF-BI-10001543</t>
  </si>
  <si>
    <t>GBC VeloBinder Manual Binding System</t>
  </si>
  <si>
    <t>OFF-BI-10002071</t>
  </si>
  <si>
    <t>Fellowes Black Plastic Comb Bindings</t>
  </si>
  <si>
    <t>CA-2017-117128</t>
  </si>
  <si>
    <t>BF-11080</t>
  </si>
  <si>
    <t>Bart Folk</t>
  </si>
  <si>
    <t>OFF-PA-10000007</t>
  </si>
  <si>
    <t>Telephone Message Books with Fax/Mobile Section, 4 1/4" x 6"</t>
  </si>
  <si>
    <t>OFF-LA-10000248</t>
  </si>
  <si>
    <t>Avery 52</t>
  </si>
  <si>
    <t>CA-2017-122770</t>
  </si>
  <si>
    <t>OFF-LA-10004559</t>
  </si>
  <si>
    <t>Avery 49</t>
  </si>
  <si>
    <t>Eldon Executive Woodline II Desk Accessories, Mahogany</t>
  </si>
  <si>
    <t>OFF-PA-10000232</t>
  </si>
  <si>
    <t>Xerox 1975</t>
  </si>
  <si>
    <t>CA-2017-154116</t>
  </si>
  <si>
    <t>KM-16660</t>
  </si>
  <si>
    <t>Khloe Miller</t>
  </si>
  <si>
    <t>OFF-PA-10004569</t>
  </si>
  <si>
    <t>Wirebound Message Books, Two 4 1/4" x 5" Forms per Page</t>
  </si>
  <si>
    <t>OFF-AP-10000027</t>
  </si>
  <si>
    <t>Hoover Commercial SteamVac</t>
  </si>
  <si>
    <t>TEC-PH-10000675</t>
  </si>
  <si>
    <t>Panasonic KX TS3282B Corded phone</t>
  </si>
  <si>
    <t>CA-2017-167395</t>
  </si>
  <si>
    <t>KM-16720</t>
  </si>
  <si>
    <t>Kunst Miller</t>
  </si>
  <si>
    <t>Lowell</t>
  </si>
  <si>
    <t>OFF-AP-10001293</t>
  </si>
  <si>
    <t>Belkin 8 Outlet Surge Protector</t>
  </si>
  <si>
    <t>OFF-SU-10001935</t>
  </si>
  <si>
    <t>CA-2017-102659</t>
  </si>
  <si>
    <t>LW-17215</t>
  </si>
  <si>
    <t>Luke Weiss</t>
  </si>
  <si>
    <t>OFF-BI-10000088</t>
  </si>
  <si>
    <t>GBC Imprintable Covers</t>
  </si>
  <si>
    <t>CA-2017-142328</t>
  </si>
  <si>
    <t>OFF-PA-10000380</t>
  </si>
  <si>
    <t>REDIFORM Incoming/Outgoing Call Register, 11" X 8 1/2", 100 Messages</t>
  </si>
  <si>
    <t>CA-2017-153871</t>
  </si>
  <si>
    <t>RB-19435</t>
  </si>
  <si>
    <t>Richard Bierner</t>
  </si>
  <si>
    <t>Plainfield</t>
  </si>
  <si>
    <t>OFF-BI-10004600</t>
  </si>
  <si>
    <t>Ibico Ibimaster 300 Manual Binding System</t>
  </si>
  <si>
    <t>OFF-AP-10003622</t>
  </si>
  <si>
    <t>Bravo II Megaboss 12-Amp Hard Body Upright, Replacement Belts, 2 Belts per Pack</t>
  </si>
  <si>
    <t>Row Labels</t>
  </si>
  <si>
    <t>Grand Total</t>
  </si>
  <si>
    <t>Sum of Sales</t>
  </si>
  <si>
    <t>Placeholder</t>
  </si>
  <si>
    <t>Value</t>
  </si>
  <si>
    <t>month</t>
  </si>
  <si>
    <t>year</t>
  </si>
  <si>
    <t>salesamount</t>
  </si>
  <si>
    <t>product_name_1</t>
  </si>
  <si>
    <t>product_value_1</t>
  </si>
  <si>
    <t>product_name_2</t>
  </si>
  <si>
    <t>product_value_2</t>
  </si>
  <si>
    <t>product_name_3</t>
  </si>
  <si>
    <t>product_value_3</t>
  </si>
  <si>
    <t>PIVOT TABLE</t>
  </si>
  <si>
    <t>Mayo</t>
  </si>
  <si>
    <t>base</t>
  </si>
  <si>
    <t>c:\ProgamData\anaconda3\python.exe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</si>
</sst>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569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B90276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4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168" fontId="0" fillId="4" borderId="1" xfId="4" applyNumberFormat="1" applyFont="1" applyFill="1" applyBorder="1"/>
    <xf numFmtId="0" fontId="3" fillId="5" borderId="0" xfId="0" applyFont="1" applyFill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3</xdr:row>
          <xdr:rowOff>95250</xdr:rowOff>
        </xdr:from>
        <xdr:to>
          <xdr:col>5</xdr:col>
          <xdr:colOff>371475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Word Document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anatree" refreshedDate="44308.323557523145" createdVersion="7" refreshedVersion="7" minRefreshableVersion="3" recordCount="462" xr:uid="{B3A6A047-7812-45F4-BFB8-FAA068B6F217}">
  <cacheSource type="worksheet">
    <worksheetSource ref="A1:S463" sheet="Sales"/>
  </cacheSource>
  <cacheFields count="19">
    <cacheField name="Order ID" numFmtId="0">
      <sharedItems/>
    </cacheField>
    <cacheField name="Order Date" numFmtId="14">
      <sharedItems containsSemiMixedTypes="0" containsNonDate="0" containsDate="1" containsString="0" minDate="2021-03-01T00:00:00" maxDate="2021-03-31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841" maxValue="98208"/>
    </cacheField>
    <cacheField name="Region" numFmtId="0">
      <sharedItems/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inders"/>
        <s v="Furnishings"/>
        <s v="Storage"/>
        <s v="Appliances"/>
        <s v="Phones"/>
        <s v="Fasteners"/>
        <s v="Accessories"/>
        <s v="Envelopes"/>
        <s v="Copiers"/>
        <s v="Paper"/>
        <s v="Tables"/>
        <s v="Labels"/>
        <s v="Bookcases"/>
        <s v="Chairs"/>
        <s v="Art"/>
        <s v="Supplies"/>
        <s v="Machines"/>
      </sharedItems>
    </cacheField>
    <cacheField name="Product Name" numFmtId="0">
      <sharedItems/>
    </cacheField>
    <cacheField name="Sales" numFmtId="0">
      <sharedItems containsSemiMixedTypes="0" containsString="0" containsNumber="1" minValue="1.1880000000000002" maxValue="2879.9520000000002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2929.4845000000005" maxValue="1007.983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2"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BI-10004182"/>
    <s v="Office Supplies"/>
    <x v="0"/>
    <s v="Economy Binders"/>
    <n v="1.2479999999999998"/>
    <n v="3"/>
    <n v="0.8"/>
    <n v="-1.9344000000000006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080000000000002"/>
    <n v="3"/>
    <n v="0.6"/>
    <n v="-5.8248000000000015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ST-10000615"/>
    <s v="Office Supplies"/>
    <x v="2"/>
    <s v="SimpliFile Personal File, Black Granite, 15w x 6-15/16d x 11-1/4h"/>
    <n v="27.240000000000002"/>
    <n v="3"/>
    <n v="0.2"/>
    <n v="2.724000000000002"/>
  </r>
  <r>
    <s v="CA-2017-146780"/>
    <d v="2021-03-25T00:00:00"/>
    <s v="Standard Class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09600000000001"/>
  </r>
  <r>
    <s v="CA-2017-155376"/>
    <d v="2021-03-22T00:00:00"/>
    <s v="Standard Class"/>
    <s v="SG-20080"/>
    <s v="Sandra Glassco"/>
    <s v="Consumer"/>
    <s v="United States"/>
    <s v="Independence"/>
    <s v="Missouri"/>
    <n v="64055"/>
    <s v="Central"/>
    <s v="OFF-AP-10001058"/>
    <s v="Office Supplies"/>
    <x v="3"/>
    <s v="Sanyo 2.5 Cubic Foot Mid-Size Office Refrigerators"/>
    <n v="839.43000000000006"/>
    <n v="3"/>
    <n v="0"/>
    <n v="218.25179999999997"/>
  </r>
  <r>
    <s v="US-2017-116701"/>
    <d v="2021-03-17T00:00:00"/>
    <s v="Second Class"/>
    <s v="LC-17140"/>
    <s v="Logan Currie"/>
    <s v="Consumer"/>
    <s v="United States"/>
    <s v="Dallas"/>
    <s v="Texas"/>
    <n v="75220"/>
    <s v="Central"/>
    <s v="OFF-AP-10003217"/>
    <s v="Office Supplies"/>
    <x v="3"/>
    <s v="Eureka Sanitaire  Commercial Upright"/>
    <n v="66.283999999999992"/>
    <n v="2"/>
    <n v="0.8"/>
    <n v="-178.96680000000001"/>
  </r>
  <r>
    <s v="CA-2017-108329"/>
    <d v="2021-03-09T00:00:00"/>
    <s v="Standard Class"/>
    <s v="LE-16810"/>
    <s v="Laurel Elliston"/>
    <s v="Consumer"/>
    <s v="United States"/>
    <s v="Whittier"/>
    <s v="California"/>
    <n v="90604"/>
    <s v="West"/>
    <s v="TEC-PH-10001918"/>
    <s v="Technology"/>
    <x v="4"/>
    <s v="Nortel Business Series Terminal T7208 Digital phone"/>
    <n v="444.76800000000003"/>
    <n v="4"/>
    <n v="0.2"/>
    <n v="44.47680000000002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0642"/>
    <s v="Office Supplies"/>
    <x v="2"/>
    <s v="Tennsco Lockers, Gray"/>
    <n v="83.92"/>
    <n v="4"/>
    <n v="0"/>
    <n v="5.8743999999999943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TEC-PH-10001700"/>
    <s v="Technology"/>
    <x v="4"/>
    <s v="Panasonic KX-TG6844B Expandable Digital Cordless Telephone"/>
    <n v="131.97999999999999"/>
    <n v="2"/>
    <n v="0"/>
    <n v="35.63460000000000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BI-10003274"/>
    <s v="Office Supplies"/>
    <x v="0"/>
    <s v="Avery Durable Slant Ring Binders, No Labels"/>
    <n v="15.92"/>
    <n v="4"/>
    <n v="0"/>
    <n v="7.4824000000000002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FA-10000134"/>
    <s v="Office Supplies"/>
    <x v="5"/>
    <s v="Advantus Push Pins, Aluminum Head"/>
    <n v="52.29"/>
    <n v="9"/>
    <n v="0"/>
    <n v="16.209899999999998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1522"/>
    <s v="Office Supplies"/>
    <x v="2"/>
    <s v="Gould Plastics 18-Pocket Panel Bin, 34w x 5-1/4d x 20-1/2h"/>
    <n v="91.99"/>
    <n v="1"/>
    <n v="0"/>
    <n v="3.6795999999999935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258000000000006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ST-10002790"/>
    <s v="Office Supplies"/>
    <x v="2"/>
    <s v="Safco Industrial Shelving"/>
    <n v="221.54999999999998"/>
    <n v="3"/>
    <n v="0"/>
    <n v="6.6465000000000174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BI-10003460"/>
    <s v="Office Supplies"/>
    <x v="0"/>
    <s v="Acco 3-Hole Punch"/>
    <n v="17.52"/>
    <n v="5"/>
    <n v="0.2"/>
    <n v="6.1319999999999988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ST-10004180"/>
    <s v="Office Supplies"/>
    <x v="2"/>
    <s v="Safco Commercial Shelving"/>
    <n v="37.207999999999998"/>
    <n v="1"/>
    <n v="0.2"/>
    <n v="-7.4416000000000011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EN-10004386"/>
    <s v="Office Supplies"/>
    <x v="7"/>
    <s v="Recycled Interoffice Envelopes with String and Button Closure, 10 x 13"/>
    <n v="57.576000000000001"/>
    <n v="3"/>
    <n v="0.2"/>
    <n v="21.591000000000001"/>
  </r>
  <r>
    <s v="CA-2017-163979"/>
    <d v="2021-03-28T00:00:00"/>
    <s v="Second Class"/>
    <s v="KH-16690"/>
    <s v="Kristen Hastings"/>
    <s v="Corporate"/>
    <s v="United States"/>
    <s v="San Francisco"/>
    <s v="California"/>
    <n v="94110"/>
    <s v="West"/>
    <s v="OFF-ST-10003208"/>
    <s v="Office Supplies"/>
    <x v="2"/>
    <s v="Adjustable Depth Letter/Legal Cart"/>
    <n v="725.84"/>
    <n v="4"/>
    <n v="0"/>
    <n v="210.4935999999999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OFF-BI-10000050"/>
    <s v="Office Supplies"/>
    <x v="0"/>
    <s v="Angle-D Binders with Locking Rings, Label Holders"/>
    <n v="23.36"/>
    <n v="4"/>
    <n v="0.2"/>
    <n v="7.8839999999999986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3199999999996"/>
  </r>
  <r>
    <s v="CA-2017-117933"/>
    <d v="2021-03-24T00:00:00"/>
    <s v="Standard Class"/>
    <s v="RF-19840"/>
    <s v="Roy Französisch"/>
    <s v="Consumer"/>
    <s v="United States"/>
    <s v="New York City"/>
    <s v="New York"/>
    <n v="10024"/>
    <s v="East"/>
    <s v="OFF-AP-10004249"/>
    <s v="Office Supplies"/>
    <x v="3"/>
    <s v="Staple holder"/>
    <n v="35.910000000000004"/>
    <n v="3"/>
    <n v="0"/>
    <n v="9.6956999999999987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000000000002"/>
    <n v="5"/>
    <n v="0"/>
    <n v="37.78950000000000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CO-10004115"/>
    <s v="Technology"/>
    <x v="8"/>
    <s v="Sharp AL-1530CS Digital Copier"/>
    <n v="1199.9760000000001"/>
    <n v="3"/>
    <n v="0.2"/>
    <n v="434.99130000000002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3724"/>
    <s v="Office Supplies"/>
    <x v="9"/>
    <s v="Wirebound Message Book, 4 per Page"/>
    <n v="27.15"/>
    <n v="5"/>
    <n v="0"/>
    <n v="13.3035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TA-10002041"/>
    <s v="Furniture"/>
    <x v="10"/>
    <s v="Bevis Round Conference Table Top, X-Base"/>
    <n v="1004.0239999999999"/>
    <n v="7"/>
    <n v="0.2"/>
    <n v="-112.9526999999999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2893"/>
    <s v="Office Supplies"/>
    <x v="9"/>
    <s v="Wirebound Service Call Books, 5 1/2&quot; x 4&quot;"/>
    <n v="9.68"/>
    <n v="1"/>
    <n v="0"/>
    <n v="4.64639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LA-10003766"/>
    <s v="Office Supplies"/>
    <x v="11"/>
    <s v="Self-Adhesive Removable Labels"/>
    <n v="28.349999999999998"/>
    <n v="9"/>
    <n v="0"/>
    <n v="13.608000000000001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1970"/>
    <s v="Office Supplies"/>
    <x v="9"/>
    <s v="Xerox 1908"/>
    <n v="55.98"/>
    <n v="1"/>
    <n v="0"/>
    <n v="27.4301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BO-10001972"/>
    <s v="Furniture"/>
    <x v="12"/>
    <s v="O'Sullivan 4-Shelf Bookcase in Odessa Pine"/>
    <n v="1336.829"/>
    <n v="13"/>
    <n v="0.15"/>
    <n v="31.45479999999994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CH-10003956"/>
    <s v="Furniture"/>
    <x v="13"/>
    <s v="Novimex High-Tech Fabric Mesh Task Chair"/>
    <n v="113.56800000000001"/>
    <n v="2"/>
    <n v="0.2"/>
    <n v="-18.454800000000013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3811"/>
    <s v="Office Supplies"/>
    <x v="14"/>
    <s v="Newell 327"/>
    <n v="6.63"/>
    <n v="3"/>
    <n v="0"/>
    <n v="1.7901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1246"/>
    <s v="Office Supplies"/>
    <x v="14"/>
    <s v="Newell 317"/>
    <n v="5.88"/>
    <n v="2"/>
    <n v="0"/>
    <n v="1.7051999999999996"/>
  </r>
  <r>
    <s v="CA-2017-137099"/>
    <d v="2021-03-07T00:00:00"/>
    <s v="First Class"/>
    <s v="FP-14320"/>
    <s v="Frank Preis"/>
    <s v="Consumer"/>
    <s v="United States"/>
    <s v="Los Angeles"/>
    <s v="California"/>
    <n v="90008"/>
    <s v="West"/>
    <s v="TEC-PH-10002496"/>
    <s v="Technology"/>
    <x v="4"/>
    <s v="Cisco SPA301"/>
    <n v="374.37600000000003"/>
    <n v="3"/>
    <n v="0.2"/>
    <n v="46.796999999999983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LA-10001297"/>
    <s v="Office Supplies"/>
    <x v="11"/>
    <s v="Avery 473"/>
    <n v="72.45"/>
    <n v="7"/>
    <n v="0"/>
    <n v="34.775999999999996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FA-10000585"/>
    <s v="Office Supplies"/>
    <x v="5"/>
    <s v="OIC Bulk Pack Metal Binder Clips"/>
    <n v="13.96"/>
    <n v="4"/>
    <n v="0"/>
    <n v="6.4215999999999998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BI-10001922"/>
    <s v="Office Supplies"/>
    <x v="0"/>
    <s v="Storex Dura Pro Binders"/>
    <n v="33.264000000000003"/>
    <n v="7"/>
    <n v="0.2"/>
    <n v="11.226599999999999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TEC-PH-10000347"/>
    <s v="Technology"/>
    <x v="4"/>
    <s v="Cush Cases Heavy Duty Rugged Cover Case for Samsung Galaxy S5 - Purple"/>
    <n v="14.850000000000001"/>
    <n v="3"/>
    <n v="0"/>
    <n v="4.0095000000000001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4977"/>
    <s v="Technology"/>
    <x v="4"/>
    <s v="GE 30524EE4"/>
    <n v="470.37600000000009"/>
    <n v="3"/>
    <n v="0.2"/>
    <n v="52.917299999999955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0586"/>
    <s v="Technology"/>
    <x v="4"/>
    <s v="AT&amp;T SB67148 SynJ"/>
    <n v="105.584"/>
    <n v="2"/>
    <n v="0.2"/>
    <n v="9.238600000000005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AP-10000358"/>
    <s v="Office Supplies"/>
    <x v="3"/>
    <s v="Fellowes Basic Home/Office Series Surge Protectors"/>
    <n v="31.152000000000001"/>
    <n v="3"/>
    <n v="0.2"/>
    <n v="3.5045999999999964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BI-10002764"/>
    <s v="Office Supplies"/>
    <x v="0"/>
    <s v="Recycled Pressboard Report Cover with Reinforced Top Hinge"/>
    <n v="6.7830000000000004"/>
    <n v="7"/>
    <n v="0.7"/>
    <n v="-4.748099999999997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1254"/>
    <s v="Technology"/>
    <x v="4"/>
    <s v="Jabra BIZ 2300 Duo QD Duo Corded Headset"/>
    <n v="406.36799999999999"/>
    <n v="4"/>
    <n v="0.2"/>
    <n v="30.477599999999981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BI-10000605"/>
    <s v="Office Supplies"/>
    <x v="0"/>
    <s v="Acco Pressboard Covers with Storage Hooks, 9 1/2&quot; x 11&quot;, Executive Red"/>
    <n v="15.24"/>
    <n v="5"/>
    <n v="0.2"/>
    <n v="5.1434999999999977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PA-10002615"/>
    <s v="Office Supplies"/>
    <x v="9"/>
    <s v="Ampad Gold Fibre Wirebound Steno Books, 6&quot; x 9&quot;, Gregg Ruled"/>
    <n v="13.23"/>
    <n v="3"/>
    <n v="0"/>
    <n v="6.0857999999999999"/>
  </r>
  <r>
    <s v="CA-2017-126221"/>
    <d v="2021-03-30T00:00:00"/>
    <s v="Standard Class"/>
    <s v="CC-12430"/>
    <s v="Chuck Clark"/>
    <s v="Home Office"/>
    <s v="United States"/>
    <s v="Columbus"/>
    <s v="Indiana"/>
    <n v="47201"/>
    <s v="Central"/>
    <s v="OFF-AP-10002457"/>
    <s v="Office Supplies"/>
    <x v="3"/>
    <s v="Eureka The Boss Plus 12-Amp Hard Box Upright Vacuum, Red"/>
    <n v="209.3"/>
    <n v="2"/>
    <n v="0"/>
    <n v="56.510999999999996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AP-10004532"/>
    <s v="Office Supplies"/>
    <x v="3"/>
    <s v="Kensington 6 Outlet Guardian Standard Surge Protector"/>
    <n v="61.44"/>
    <n v="3"/>
    <n v="0"/>
    <n v="16.588799999999999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PA-10002137"/>
    <s v="Office Supplies"/>
    <x v="9"/>
    <s v="Southworth 100% Résumé Paper, 24lb."/>
    <n v="38.9"/>
    <n v="5"/>
    <n v="0"/>
    <n v="17.504999999999995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0000000000015"/>
    <n v="3"/>
    <n v="0"/>
    <n v="40.749900000000004"/>
  </r>
  <r>
    <s v="CA-2017-161480"/>
    <d v="2021-03-25T00:00:00"/>
    <s v="Standard Class"/>
    <s v="RA-19285"/>
    <s v="Ralph Arnett"/>
    <s v="Consumer"/>
    <s v="United States"/>
    <s v="New York City"/>
    <s v="New York"/>
    <n v="10035"/>
    <s v="East"/>
    <s v="FUR-BO-10004015"/>
    <s v="Furniture"/>
    <x v="12"/>
    <s v="Bush Andora Bookcase, Maple/Graphite Gray Finish"/>
    <n v="191.98400000000001"/>
    <n v="2"/>
    <n v="0.2"/>
    <n v="4.7995999999999768"/>
  </r>
  <r>
    <s v="US-2017-123463"/>
    <d v="2021-03-23T00:00:00"/>
    <s v="Same Day"/>
    <s v="GZ-14470"/>
    <s v="Gary Zandusky"/>
    <s v="Consumer"/>
    <s v="United States"/>
    <s v="San Francisco"/>
    <s v="California"/>
    <n v="94109"/>
    <s v="West"/>
    <s v="OFF-AR-10001118"/>
    <s v="Office Supplies"/>
    <x v="14"/>
    <s v="Binney &amp; Smith Crayola Metallic Crayons, 16-Color Pack"/>
    <n v="13.48"/>
    <n v="4"/>
    <n v="0"/>
    <n v="5.931200000000001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FUR-BO-10003441"/>
    <s v="Furniture"/>
    <x v="12"/>
    <s v="Bush Westfield Collection Bookcases, Fully Assembled"/>
    <n v="323.13600000000002"/>
    <n v="4"/>
    <n v="0.2"/>
    <n v="12.117599999999968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TEC-PH-10004774"/>
    <s v="Technology"/>
    <x v="4"/>
    <s v="Gear Head AU3700S Headset"/>
    <n v="90.93"/>
    <n v="7"/>
    <n v="0"/>
    <n v="2.727899999999996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OFF-BI-10003684"/>
    <s v="Office Supplies"/>
    <x v="0"/>
    <s v="Wilson Jones Legal Size Ring Binders"/>
    <n v="52.775999999999996"/>
    <n v="3"/>
    <n v="0.2"/>
    <n v="19.79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OFF-AR-10001958"/>
    <s v="Office Supplies"/>
    <x v="14"/>
    <s v="Stanley Bostitch Contemporary Electric Pencil Sharpeners"/>
    <n v="27.168000000000003"/>
    <n v="2"/>
    <n v="0.2"/>
    <n v="2.716800000000000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FUR-BO-10004709"/>
    <s v="Furniture"/>
    <x v="12"/>
    <s v="Bush Westfield Collection Bookcases, Medium Cherry Finish"/>
    <n v="78.852799999999988"/>
    <n v="2"/>
    <n v="0.32"/>
    <n v="-11.595999999999997"/>
  </r>
  <r>
    <s v="US-2017-106705"/>
    <d v="2021-03-26T00:00:00"/>
    <s v="Standard Class"/>
    <s v="PO-18850"/>
    <s v="Patrick O'Brill"/>
    <s v="Consumer"/>
    <s v="United States"/>
    <s v="Burlington"/>
    <s v="Iowa"/>
    <n v="52601"/>
    <s v="Central"/>
    <s v="OFF-PA-10001509"/>
    <s v="Office Supplies"/>
    <x v="9"/>
    <s v="Recycled Desk Saver Line &quot;While You Were Out&quot; Book, 5 1/2&quot; X 4&quot;"/>
    <n v="44.75"/>
    <n v="5"/>
    <n v="0"/>
    <n v="20.584999999999994"/>
  </r>
  <r>
    <s v="CA-2017-106964"/>
    <d v="2021-03-17T00:00:00"/>
    <s v="First Class"/>
    <s v="HR-14770"/>
    <s v="Hallie Redmond"/>
    <s v="Home Office"/>
    <s v="United States"/>
    <s v="Los Angeles"/>
    <s v="California"/>
    <n v="90045"/>
    <s v="West"/>
    <s v="OFF-BI-10000320"/>
    <s v="Office Supplies"/>
    <x v="0"/>
    <s v="GBC Plastic Binding Combs"/>
    <n v="11.808"/>
    <n v="2"/>
    <n v="0.2"/>
    <n v="4.2804000000000002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097"/>
    <s v="Office Supplies"/>
    <x v="0"/>
    <s v="Avery Hole Reinforcements"/>
    <n v="19.936000000000003"/>
    <n v="4"/>
    <n v="0.2"/>
    <n v="7.2267999999999999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597"/>
    <s v="Office Supplies"/>
    <x v="0"/>
    <s v="Wilson Jones Ledger-Size, Piano-Hinge Binder, 2&quot;, Blue"/>
    <n v="65.567999999999998"/>
    <n v="2"/>
    <n v="0.2"/>
    <n v="22.948799999999995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OFF-BI-10003364"/>
    <s v="Office Supplies"/>
    <x v="0"/>
    <s v="Binding Machine Supplies"/>
    <n v="46.672000000000004"/>
    <n v="2"/>
    <n v="0.2"/>
    <n v="16.335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FUR-BO-10002206"/>
    <s v="Furniture"/>
    <x v="12"/>
    <s v="Bush Saratoga Collection 5-Shelf Bookcase, Hanover Cherry, *Special Order"/>
    <n v="119.83299999999998"/>
    <n v="1"/>
    <n v="0.15"/>
    <n v="-12.68820000000000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0400000000002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38800000000001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4123"/>
    <s v="Office Supplies"/>
    <x v="2"/>
    <s v="Safco Industrial Wire Shelving System"/>
    <n v="272.94"/>
    <n v="3"/>
    <n v="0"/>
    <n v="0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PA-10003172"/>
    <s v="Office Supplies"/>
    <x v="9"/>
    <s v="Xerox 1996"/>
    <n v="19.440000000000001"/>
    <n v="3"/>
    <n v="0"/>
    <n v="9.3312000000000008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2352"/>
    <s v="Office Supplies"/>
    <x v="2"/>
    <s v="Iris Project Case"/>
    <n v="31.92"/>
    <n v="4"/>
    <n v="0"/>
    <n v="8.2991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2280"/>
    <s v="Office Supplies"/>
    <x v="14"/>
    <s v="Staples in misc. colors"/>
    <n v="38.82"/>
    <n v="6"/>
    <n v="0"/>
    <n v="17.468999999999998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FUR-CH-10001708"/>
    <s v="Furniture"/>
    <x v="13"/>
    <s v="Office Star - Contemporary Swivel Chair with Padded Adjustable Arms and Flex Back"/>
    <n v="1141.9379999999999"/>
    <n v="9"/>
    <n v="0.1"/>
    <n v="139.5701999999998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P-10000891"/>
    <s v="Office Supplies"/>
    <x v="3"/>
    <s v="Kensington 7 Outlet MasterPiece HOMEOFFICE Power Control Center"/>
    <n v="1704.56"/>
    <n v="13"/>
    <n v="0"/>
    <n v="511.367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0462"/>
    <s v="Office Supplies"/>
    <x v="14"/>
    <s v="Sanford Pocket Accent Highlighters"/>
    <n v="3.2"/>
    <n v="2"/>
    <n v="0"/>
    <n v="1.3760000000000003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2103"/>
    <s v="Office Supplies"/>
    <x v="0"/>
    <s v="Cardinal Slant-D Ring Binder, Heavy Gauge Vinyl"/>
    <n v="13.904"/>
    <n v="2"/>
    <n v="0.2"/>
    <n v="4.5187999999999997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4632"/>
    <s v="Office Supplies"/>
    <x v="0"/>
    <s v="GBC Binding covers"/>
    <n v="20.72"/>
    <n v="2"/>
    <n v="0.2"/>
    <n v="6.4749999999999979"/>
  </r>
  <r>
    <s v="CA-2017-157651"/>
    <d v="2021-03-10T00:00:00"/>
    <s v="Standard Class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00000000000001"/>
    <n v="1"/>
    <n v="0.2"/>
    <n v="3.3724999999999992"/>
  </r>
  <r>
    <s v="CA-2017-128160"/>
    <d v="2021-03-19T00:00:00"/>
    <s v="Second Class"/>
    <s v="MM-17920"/>
    <s v="Michael Moore"/>
    <s v="Consumer"/>
    <s v="United States"/>
    <s v="San Francisco"/>
    <s v="California"/>
    <n v="94110"/>
    <s v="West"/>
    <s v="OFF-BI-10001510"/>
    <s v="Office Supplies"/>
    <x v="0"/>
    <s v="Deluxe Heavy-Duty Vinyl Round Ring Binder"/>
    <n v="36.672000000000004"/>
    <n v="2"/>
    <n v="0.2"/>
    <n v="11.459999999999999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FUR-CH-10000847"/>
    <s v="Furniture"/>
    <x v="13"/>
    <s v="Global Executive Mid-Back Manager's Chair"/>
    <n v="872.94"/>
    <n v="3"/>
    <n v="0"/>
    <n v="226.9643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BI-10003982"/>
    <s v="Office Supplies"/>
    <x v="0"/>
    <s v="Wilson Jones Century Plastic Molded Ring Binders"/>
    <n v="41.54"/>
    <n v="2"/>
    <n v="0"/>
    <n v="19.52379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PA-10001293"/>
    <s v="Office Supplies"/>
    <x v="9"/>
    <s v="Xerox 1946"/>
    <n v="12.96"/>
    <n v="2"/>
    <n v="0"/>
    <n v="6.2208000000000006"/>
  </r>
  <r>
    <s v="CA-2017-154935"/>
    <d v="2021-03-24T00:00:00"/>
    <s v="Standard Class"/>
    <s v="AR-10540"/>
    <s v="Andy Reiter"/>
    <s v="Consumer"/>
    <s v="United States"/>
    <s v="New York City"/>
    <s v="New York"/>
    <n v="10024"/>
    <s v="East"/>
    <s v="OFF-BI-10003708"/>
    <s v="Office Supplies"/>
    <x v="0"/>
    <s v="Acco Four Pocket Poly Ring Binder with Label Holder, Smoke, 1&quot;"/>
    <n v="17.880000000000003"/>
    <n v="3"/>
    <n v="0.2"/>
    <n v="5.5875000000000004"/>
  </r>
  <r>
    <s v="CA-2017-108294"/>
    <d v="2021-03-10T00:00:00"/>
    <s v="Same Day"/>
    <s v="LS-16975"/>
    <s v="Lindsay Shagiari"/>
    <s v="Home Office"/>
    <s v="United States"/>
    <s v="Omaha"/>
    <s v="Nebraska"/>
    <n v="68104"/>
    <s v="Central"/>
    <s v="OFF-BI-10004965"/>
    <s v="Office Supplies"/>
    <x v="0"/>
    <s v="Ibico Covers for Plastic or Wire Binding Elements"/>
    <n v="34.5"/>
    <n v="3"/>
    <n v="0"/>
    <n v="15.524999999999999"/>
  </r>
  <r>
    <s v="US-2017-160759"/>
    <d v="2021-03-11T00:00:00"/>
    <s v="Standard Class"/>
    <s v="AI-10855"/>
    <s v="Arianne Irving"/>
    <s v="Consumer"/>
    <s v="United States"/>
    <s v="Philadelphia"/>
    <s v="Pennsylvania"/>
    <n v="19120"/>
    <s v="East"/>
    <s v="FUR-CH-10002961"/>
    <s v="Furniture"/>
    <x v="13"/>
    <s v="Leather Task Chair, Black"/>
    <n v="63.686"/>
    <n v="1"/>
    <n v="0.3"/>
    <n v="-9.0980000000000025"/>
  </r>
  <r>
    <s v="CA-2017-148446"/>
    <d v="2021-03-10T00:00:00"/>
    <s v="Second Class"/>
    <s v="MC-17845"/>
    <s v="Michael Chen"/>
    <s v="Consumer"/>
    <s v="United States"/>
    <s v="North Las Vegas"/>
    <s v="Nevada"/>
    <n v="89031"/>
    <s v="West"/>
    <s v="FUR-TA-10004256"/>
    <s v="Furniture"/>
    <x v="10"/>
    <s v="Bretford “Just In Time” Height-Adjustable Multi-Task Work Tables"/>
    <n v="1669.6"/>
    <n v="4"/>
    <n v="0"/>
    <n v="116.87199999999984"/>
  </r>
  <r>
    <s v="CA-2017-138380"/>
    <d v="2021-03-21T00:00:00"/>
    <s v="Standard Class"/>
    <s v="YS-21880"/>
    <s v="Yana Sorensen"/>
    <s v="Corporate"/>
    <s v="United States"/>
    <s v="Oakland"/>
    <s v="California"/>
    <n v="94601"/>
    <s v="West"/>
    <s v="OFF-ST-10003306"/>
    <s v="Office Supplies"/>
    <x v="2"/>
    <s v="Letter Size Cart"/>
    <n v="1000.0200000000001"/>
    <n v="7"/>
    <n v="0"/>
    <n v="290.00579999999991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OFF-PA-10000788"/>
    <s v="Office Supplies"/>
    <x v="9"/>
    <s v="Xerox 210"/>
    <n v="10.368000000000002"/>
    <n v="2"/>
    <n v="0.2"/>
    <n v="3.6288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000000000005"/>
    <n v="2"/>
    <n v="0.2"/>
    <n v="23.315999999999988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PA-10000575"/>
    <s v="Office Supplies"/>
    <x v="9"/>
    <s v="Wirebound Message Books, Four 2 3/4 x 5 White Forms per Page"/>
    <n v="33.450000000000003"/>
    <n v="5"/>
    <n v="0"/>
    <n v="15.387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BI-10004182"/>
    <s v="Office Supplies"/>
    <x v="0"/>
    <s v="Economy Binders"/>
    <n v="10.4"/>
    <n v="5"/>
    <n v="0"/>
    <n v="5.0960000000000001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ST-10004340"/>
    <s v="Office Supplies"/>
    <x v="2"/>
    <s v="Fellowes Mobile File Cart, Black"/>
    <n v="559.62"/>
    <n v="9"/>
    <n v="0"/>
    <n v="151.09740000000002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4475"/>
    <s v="Office Supplies"/>
    <x v="9"/>
    <s v="Xerox 1940"/>
    <n v="109.92"/>
    <n v="2"/>
    <n v="0"/>
    <n v="53.860799999999998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3893"/>
    <s v="Office Supplies"/>
    <x v="9"/>
    <s v="Xerox 1962"/>
    <n v="8.56"/>
    <n v="2"/>
    <n v="0"/>
    <n v="3.851999999999999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FUR-CH-10002880"/>
    <s v="Furniture"/>
    <x v="13"/>
    <s v="Global High-Back Leather Tilter, Burgundy"/>
    <n v="393.56799999999998"/>
    <n v="4"/>
    <n v="0.2"/>
    <n v="-44.27640000000002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TEC-PH-10002563"/>
    <s v="Technology"/>
    <x v="4"/>
    <s v="Adtran 1202752G1"/>
    <n v="302.37599999999998"/>
    <n v="3"/>
    <n v="0.2"/>
    <n v="22.678200000000018"/>
  </r>
  <r>
    <s v="CA-2017-145310"/>
    <d v="2021-03-22T00:00:00"/>
    <s v="Second Class"/>
    <s v="JP-15520"/>
    <s v="Jeremy Pistek"/>
    <s v="Consumer"/>
    <s v="United States"/>
    <s v="Port Orange"/>
    <s v="Florida"/>
    <n v="32127"/>
    <s v="South"/>
    <s v="OFF-EN-10002621"/>
    <s v="Office Supplies"/>
    <x v="7"/>
    <s v="Staple envelope"/>
    <n v="7.8239999999999998"/>
    <n v="1"/>
    <n v="0.2"/>
    <n v="2.9339999999999997"/>
  </r>
  <r>
    <s v="US-2017-108063"/>
    <d v="2021-03-02T00:00:00"/>
    <s v="First Class"/>
    <s v="AS-10090"/>
    <s v="Adam Shillingsburg"/>
    <s v="Consumer"/>
    <s v="United States"/>
    <s v="Charlottesville"/>
    <s v="Virginia"/>
    <n v="22901"/>
    <s v="South"/>
    <s v="OFF-AR-10001446"/>
    <s v="Office Supplies"/>
    <x v="14"/>
    <s v="Newell 309"/>
    <n v="34.650000000000006"/>
    <n v="3"/>
    <n v="0"/>
    <n v="10.395"/>
  </r>
  <r>
    <s v="CA-2017-105886"/>
    <d v="2021-03-18T00:00:00"/>
    <s v="Standard Class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32"/>
  </r>
  <r>
    <s v="CA-2017-126865"/>
    <d v="2021-03-05T00:00:00"/>
    <s v="Second Class"/>
    <s v="NP-18325"/>
    <s v="Naresj Patel"/>
    <s v="Consumer"/>
    <s v="United States"/>
    <s v="San Diego"/>
    <s v="California"/>
    <n v="92024"/>
    <s v="West"/>
    <s v="OFF-PA-10003039"/>
    <s v="Office Supplies"/>
    <x v="9"/>
    <s v="Xerox 1960"/>
    <n v="92.94"/>
    <n v="3"/>
    <n v="0"/>
    <n v="41.822999999999993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TEC-PH-10002103"/>
    <s v="Technology"/>
    <x v="4"/>
    <s v="Jabra SPEAK 410"/>
    <n v="281.96999999999997"/>
    <n v="3"/>
    <n v="0"/>
    <n v="78.951599999999999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54999999999994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PA-10001144"/>
    <s v="Office Supplies"/>
    <x v="9"/>
    <s v="Xerox 1913"/>
    <n v="166.44"/>
    <n v="3"/>
    <n v="0"/>
    <n v="79.891199999999998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OFF-AP-10002534"/>
    <s v="Office Supplies"/>
    <x v="3"/>
    <s v="3.6 Cubic Foot Counter Height Office Refrigerator"/>
    <n v="294.61999999999995"/>
    <n v="5"/>
    <n v="0.8"/>
    <n v="-766.01199999999994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20000000000007"/>
    <n v="4"/>
    <n v="0.6"/>
    <n v="-3.719599999999998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OFF-ST-10000563"/>
    <s v="Office Supplies"/>
    <x v="2"/>
    <s v="Fellowes Bankers Box Stor/Drawer Steel Plus"/>
    <n v="95.94"/>
    <n v="3"/>
    <n v="0"/>
    <n v="9.5940000000000012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FUR-CH-10001146"/>
    <s v="Furniture"/>
    <x v="13"/>
    <s v="Global Value Mid-Back Manager's Chair, Gray"/>
    <n v="304.45"/>
    <n v="5"/>
    <n v="0"/>
    <n v="76.112499999999983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000000000002"/>
    <n v="5"/>
    <n v="0"/>
    <n v="63.983999999999988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CH-10002335"/>
    <s v="Furniture"/>
    <x v="13"/>
    <s v="Hon GuestStacker Chair"/>
    <n v="1586.6899999999998"/>
    <n v="7"/>
    <n v="0"/>
    <n v="412.5394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596399999999996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TA-10004534"/>
    <s v="Furniture"/>
    <x v="10"/>
    <s v="Bevis 44 x 96 Conference Tables"/>
    <n v="411.8"/>
    <n v="2"/>
    <n v="0"/>
    <n v="70.005999999999972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OFF-EN-10003040"/>
    <s v="Office Supplies"/>
    <x v="7"/>
    <s v="Quality Park Security Envelopes"/>
    <n v="104.68000000000002"/>
    <n v="5"/>
    <n v="0.2"/>
    <n v="35.329499999999996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TEC-PH-10000923"/>
    <s v="Technology"/>
    <x v="4"/>
    <s v="Belkin SportFit Armband For iPhone 5s/5c, Fuchsia"/>
    <n v="62.957999999999998"/>
    <n v="7"/>
    <n v="0.4"/>
    <n v="9.4436999999999998"/>
  </r>
  <r>
    <s v="CA-2017-104066"/>
    <d v="2021-03-05T00:00:00"/>
    <s v="Standard Class"/>
    <s v="QJ-19255"/>
    <s v="Quincy Jones"/>
    <s v="Corporate"/>
    <s v="United States"/>
    <s v="Burlington"/>
    <s v="Vermont"/>
    <s v="05408"/>
    <s v="East"/>
    <s v="TEC-AC-10001013"/>
    <s v="Technology"/>
    <x v="6"/>
    <s v="Logitech ClearChat Comfort/USB Headset H390"/>
    <n v="205.03"/>
    <n v="7"/>
    <n v="0"/>
    <n v="67.659899999999979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PA-10002787"/>
    <s v="Office Supplies"/>
    <x v="9"/>
    <s v="Xerox 227"/>
    <n v="6.48"/>
    <n v="1"/>
    <n v="0"/>
    <n v="3.1104000000000003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BI-10003291"/>
    <s v="Office Supplies"/>
    <x v="0"/>
    <s v="Wilson Jones Leather-Like Binders with DublLock Round Rings"/>
    <n v="6.9840000000000009"/>
    <n v="1"/>
    <n v="0.2"/>
    <n v="2.3570999999999991"/>
  </r>
  <r>
    <s v="CA-2017-164917"/>
    <d v="2021-03-02T00:00:00"/>
    <s v="Standard Class"/>
    <s v="MK-17905"/>
    <s v="Michael Kennedy"/>
    <s v="Corporate"/>
    <s v="United States"/>
    <s v="Miami"/>
    <s v="Florida"/>
    <n v="33180"/>
    <s v="South"/>
    <s v="OFF-AR-10004344"/>
    <s v="Office Supplies"/>
    <x v="14"/>
    <s v="Bulldog Vacuum Base Pencil Sharpener"/>
    <n v="47.96"/>
    <n v="5"/>
    <n v="0.2"/>
    <n v="4.196499999999995"/>
  </r>
  <r>
    <s v="CA-2017-127929"/>
    <d v="2021-03-23T00:00:00"/>
    <s v="Standard Class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09499999999998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EN-10004030"/>
    <s v="Office Supplies"/>
    <x v="7"/>
    <s v="Convenience Packs of Business Envelopes"/>
    <n v="10.86"/>
    <n v="3"/>
    <n v="0"/>
    <n v="5.1042000000000005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AP-10000026"/>
    <s v="Office Supplies"/>
    <x v="3"/>
    <s v="Tripp Lite Isotel 6 Outlet Surge Protector with Fax/Modem Protection"/>
    <n v="426.78999999999996"/>
    <n v="7"/>
    <n v="0"/>
    <n v="123.7690999999999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4187"/>
    <s v="Office Supplies"/>
    <x v="0"/>
    <s v="3-ring staple pack"/>
    <n v="9.0240000000000009"/>
    <n v="6"/>
    <n v="0.2"/>
    <n v="3.158399999999998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0632"/>
    <s v="Office Supplies"/>
    <x v="0"/>
    <s v="Satellite Sectional Post Binders"/>
    <n v="69.456000000000003"/>
    <n v="2"/>
    <n v="0.2"/>
    <n v="22.573199999999996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PA-10003724"/>
    <s v="Office Supplies"/>
    <x v="9"/>
    <s v="Wirebound Message Book, 4 per Page"/>
    <n v="10.86"/>
    <n v="2"/>
    <n v="0"/>
    <n v="5.3213999999999997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P-10002765"/>
    <s v="Office Supplies"/>
    <x v="3"/>
    <s v="Fellowes Advanced Computer Series Surge Protectors"/>
    <n v="79.47"/>
    <n v="3"/>
    <n v="0"/>
    <n v="22.251600000000003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R-10001868"/>
    <s v="Office Supplies"/>
    <x v="14"/>
    <s v="Prang Dustless Chalk Sticks"/>
    <n v="10.08"/>
    <n v="6"/>
    <n v="0"/>
    <n v="5.04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28"/>
    <n v="7"/>
    <n v="0.2"/>
    <n v="41.718599999999995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BI-10000632"/>
    <s v="Office Supplies"/>
    <x v="0"/>
    <s v="Satellite Sectional Post Binders"/>
    <n v="13.023000000000001"/>
    <n v="1"/>
    <n v="0.7"/>
    <n v="-10.418399999999998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FUR-TA-10002645"/>
    <s v="Furniture"/>
    <x v="10"/>
    <s v="Hon Rectangular Conference Tables"/>
    <n v="273.06"/>
    <n v="2"/>
    <n v="0.4"/>
    <n v="-104.67300000000006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FA-10002975"/>
    <s v="Office Supplies"/>
    <x v="5"/>
    <s v="Staples"/>
    <n v="39.311999999999998"/>
    <n v="13"/>
    <n v="0.2"/>
    <n v="12.776399999999999"/>
  </r>
  <r>
    <s v="CA-2017-129805"/>
    <d v="2021-03-28T00:00:00"/>
    <s v="Standard Class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40000000000007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24"/>
    <s v="Office Supplies"/>
    <x v="0"/>
    <s v="GBC Premium Transparent Covers with Diagonal Lined Pattern"/>
    <n v="83.920000000000016"/>
    <n v="5"/>
    <n v="0.2"/>
    <n v="29.371999999999993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53"/>
    <s v="Office Supplies"/>
    <x v="0"/>
    <s v="SpineVue Locking Slant-D Ring Binders by Cardinal"/>
    <n v="14.624000000000002"/>
    <n v="2"/>
    <n v="0.2"/>
    <n v="5.1183999999999994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TEC-PH-10000576"/>
    <s v="Technology"/>
    <x v="4"/>
    <s v="AT&amp;T 1080 Corded phone"/>
    <n v="136.99"/>
    <n v="1"/>
    <n v="0"/>
    <n v="36.987300000000005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LA-10001317"/>
    <s v="Office Supplies"/>
    <x v="11"/>
    <s v="Avery 520"/>
    <n v="3.15"/>
    <n v="1"/>
    <n v="0"/>
    <n v="1.512"/>
  </r>
  <r>
    <s v="CA-2017-147956"/>
    <d v="2021-03-24T00:00:00"/>
    <s v="Standard Class"/>
    <s v="AH-10210"/>
    <s v="Alan Hwang"/>
    <s v="Consumer"/>
    <s v="United States"/>
    <s v="Seattle"/>
    <s v="Washington"/>
    <n v="98105"/>
    <s v="West"/>
    <s v="OFF-ST-10001097"/>
    <s v="Office Supplies"/>
    <x v="2"/>
    <s v="Office Impressions Heavy Duty Welded Shelving &amp; Multimedia Storage Drawers"/>
    <n v="1003.6200000000001"/>
    <n v="6"/>
    <n v="0"/>
    <n v="0"/>
  </r>
  <r>
    <s v="CA-2017-155089"/>
    <d v="2021-03-02T00:00:00"/>
    <s v="Standard Class"/>
    <s v="DB-12910"/>
    <s v="Daniel Byrd"/>
    <s v="Home Office"/>
    <s v="United States"/>
    <s v="Tampa"/>
    <s v="Florida"/>
    <n v="33614"/>
    <s v="South"/>
    <s v="OFF-BI-10002429"/>
    <s v="Office Supplies"/>
    <x v="0"/>
    <s v="Premier Elliptical Ring Binder, Black"/>
    <n v="45.660000000000011"/>
    <n v="5"/>
    <n v="0.7"/>
    <n v="-33.483999999999995"/>
  </r>
  <r>
    <s v="CA-2017-109589"/>
    <d v="2021-03-21T00:00:00"/>
    <s v="First Class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89999999999998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TEC-PH-10000576"/>
    <s v="Technology"/>
    <x v="4"/>
    <s v="AT&amp;T 1080 Corded phone"/>
    <n v="164.38800000000001"/>
    <n v="2"/>
    <n v="0.4"/>
    <n v="-35.617400000000004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OFF-AR-10004441"/>
    <s v="Office Supplies"/>
    <x v="14"/>
    <s v="BIC Brite Liner Highlighters"/>
    <n v="13.247999999999999"/>
    <n v="4"/>
    <n v="0.2"/>
    <n v="3.643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AR-10000369"/>
    <s v="Office Supplies"/>
    <x v="14"/>
    <s v="Design Ebony Sketching Pencil"/>
    <n v="4.17"/>
    <n v="3"/>
    <n v="0"/>
    <n v="1.084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TEC-PH-10001300"/>
    <s v="Technology"/>
    <x v="4"/>
    <s v="iKross Bluetooth Portable Keyboard + Cell Phone Stand Holder + Brush for Apple iPhone 5S 5C 5, 4S 4"/>
    <n v="67.040000000000006"/>
    <n v="4"/>
    <n v="0.2"/>
    <n v="6.7039999999999971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ST-10000876"/>
    <s v="Office Supplies"/>
    <x v="2"/>
    <s v="Eldon Simplefile Box Office"/>
    <n v="37.32"/>
    <n v="3"/>
    <n v="0"/>
    <n v="10.4496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LA-10001404"/>
    <s v="Office Supplies"/>
    <x v="11"/>
    <s v="Avery 517"/>
    <n v="18.45"/>
    <n v="5"/>
    <n v="0"/>
    <n v="8.6715"/>
  </r>
  <r>
    <s v="CA-2017-136875"/>
    <d v="2021-03-03T00:00:00"/>
    <s v="Same Day"/>
    <s v="TC-21295"/>
    <s v="Toby Carlisle"/>
    <s v="Consumer"/>
    <s v="United States"/>
    <s v="San Diego"/>
    <s v="California"/>
    <n v="92024"/>
    <s v="West"/>
    <s v="OFF-PA-10000357"/>
    <s v="Office Supplies"/>
    <x v="9"/>
    <s v="Xerox 1888"/>
    <n v="166.44"/>
    <n v="3"/>
    <n v="0"/>
    <n v="79.891199999999998"/>
  </r>
  <r>
    <s v="CA-2017-156412"/>
    <d v="2021-03-04T00:00:00"/>
    <s v="Standard Class"/>
    <s v="CM-12160"/>
    <s v="Charles McCrossin"/>
    <s v="Consumer"/>
    <s v="United States"/>
    <s v="Philadelphia"/>
    <s v="Pennsylvania"/>
    <n v="19134"/>
    <s v="East"/>
    <s v="OFF-BI-10004364"/>
    <s v="Office Supplies"/>
    <x v="0"/>
    <s v="Storex Dura Pro Binders"/>
    <n v="5.3460000000000019"/>
    <n v="3"/>
    <n v="0.7"/>
    <n v="-4.4550000000000001"/>
  </r>
  <r>
    <s v="CA-2017-144827"/>
    <d v="2021-03-21T00:00:00"/>
    <s v="Standard Class"/>
    <s v="SE-20110"/>
    <s v="Sanjit Engle"/>
    <s v="Consumer"/>
    <s v="United States"/>
    <s v="Costa Mesa"/>
    <s v="California"/>
    <n v="92627"/>
    <s v="West"/>
    <s v="OFF-ST-10004340"/>
    <s v="Office Supplies"/>
    <x v="2"/>
    <s v="Fellowes Mobile File Cart, Black"/>
    <n v="124.36"/>
    <n v="2"/>
    <n v="0"/>
    <n v="33.577200000000005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OFF-BI-10000848"/>
    <s v="Office Supplies"/>
    <x v="0"/>
    <s v="Angle-D Ring Binders"/>
    <n v="1.6410000000000002"/>
    <n v="1"/>
    <n v="0.7"/>
    <n v="-1.3128000000000002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TEC-PH-10003072"/>
    <s v="Technology"/>
    <x v="4"/>
    <s v="Panasonic KX-TG9541B DECT 6.0 Digital 2-Line Expandable Cordless Phone With Digital Answering System"/>
    <n v="629.95799999999997"/>
    <n v="7"/>
    <n v="0.4"/>
    <n v="94.49369999999999"/>
  </r>
  <r>
    <s v="CA-2017-158967"/>
    <d v="2021-03-10T00:00:00"/>
    <s v="First Class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3999999999999"/>
    <n v="3"/>
    <n v="0.2"/>
    <n v="5.7312000000000012"/>
  </r>
  <r>
    <s v="CA-2017-107342"/>
    <d v="2021-03-17T00:00:00"/>
    <s v="Standard Class"/>
    <s v="VF-21715"/>
    <s v="Vicky Freymann"/>
    <s v="Home Office"/>
    <s v="United States"/>
    <s v="Columbus"/>
    <s v="Indiana"/>
    <n v="47201"/>
    <s v="Central"/>
    <s v="OFF-PA-10001745"/>
    <s v="Office Supplies"/>
    <x v="9"/>
    <s v="Wirebound Message Books, 2 7/8&quot; x 5&quot;, 3 Forms per Page"/>
    <n v="28.16"/>
    <n v="4"/>
    <n v="0"/>
    <n v="13.235199999999999"/>
  </r>
  <r>
    <s v="US-2017-102638"/>
    <d v="2021-03-29T00:00:00"/>
    <s v="First Class"/>
    <s v="MC-17845"/>
    <s v="Michael Chen"/>
    <s v="Consumer"/>
    <s v="United States"/>
    <s v="New York City"/>
    <s v="New York"/>
    <n v="10035"/>
    <s v="East"/>
    <s v="OFF-FA-10002988"/>
    <s v="Office Supplies"/>
    <x v="5"/>
    <s v="Ideal Clamps"/>
    <n v="6.0299999999999994"/>
    <n v="3"/>
    <n v="0"/>
    <n v="2.9546999999999999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AR-10003811"/>
    <s v="Office Supplies"/>
    <x v="14"/>
    <s v="Newell 327"/>
    <n v="6.63"/>
    <n v="3"/>
    <n v="0"/>
    <n v="1.7901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3172"/>
    <s v="Office Supplies"/>
    <x v="9"/>
    <s v="Xerox 1996"/>
    <n v="12.96"/>
    <n v="2"/>
    <n v="0"/>
    <n v="6.2208000000000006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0289"/>
    <s v="Office Supplies"/>
    <x v="9"/>
    <s v="Xerox 213"/>
    <n v="32.400000000000006"/>
    <n v="5"/>
    <n v="0"/>
    <n v="15.552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25000000000002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BI-10000174"/>
    <s v="Office Supplies"/>
    <x v="0"/>
    <s v="Wilson Jones Clip &amp; Carry Folder Binder Tool for Ring Binders, Clear"/>
    <n v="64.959999999999994"/>
    <n v="14"/>
    <n v="0.2"/>
    <n v="22.736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EN-10000461"/>
    <s v="Office Supplies"/>
    <x v="7"/>
    <s v="#10- 4 1/8&quot; x 9 1/2&quot; Recycled Envelopes"/>
    <n v="43.7"/>
    <n v="5"/>
    <n v="0"/>
    <n v="20.539000000000001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2774"/>
    <s v="Furniture"/>
    <x v="13"/>
    <s v="Global Deluxe Stacking Chair, Gray"/>
    <n v="81.567999999999998"/>
    <n v="2"/>
    <n v="0.2"/>
    <n v="9.176399999999997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3817"/>
    <s v="Furniture"/>
    <x v="13"/>
    <s v="Global Value Steno Chair, Gray"/>
    <n v="97.184000000000012"/>
    <n v="2"/>
    <n v="0.2"/>
    <n v="6.0740000000000016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OFF-BI-10002949"/>
    <s v="Office Supplies"/>
    <x v="0"/>
    <s v="Prestige Round Ring Binders"/>
    <n v="24.320000000000004"/>
    <n v="5"/>
    <n v="0.2"/>
    <n v="8.207999999999998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40000000000014"/>
  </r>
  <r>
    <s v="CA-2017-111808"/>
    <d v="2021-03-16T00:00:00"/>
    <s v="Standard Class"/>
    <s v="AR-10510"/>
    <s v="Andrew Roberts"/>
    <s v="Consumer"/>
    <s v="United States"/>
    <s v="Tulsa"/>
    <s v="Oklahoma"/>
    <n v="74133"/>
    <s v="Central"/>
    <s v="OFF-BI-10004656"/>
    <s v="Office Supplies"/>
    <x v="0"/>
    <s v="Peel &amp; Stick Add-On Corner Pockets"/>
    <n v="10.8"/>
    <n v="5"/>
    <n v="0"/>
    <n v="5.1839999999999993"/>
  </r>
  <r>
    <s v="CA-2017-139773"/>
    <d v="2021-03-04T00:00:00"/>
    <s v="Same Day"/>
    <s v="DV-13045"/>
    <s v="Darrin Van Huff"/>
    <s v="Corporate"/>
    <s v="United States"/>
    <s v="Philadelphia"/>
    <s v="Pennsylvania"/>
    <n v="19143"/>
    <s v="East"/>
    <s v="FUR-CH-10001797"/>
    <s v="Furniture"/>
    <x v="13"/>
    <s v="Safco Chair Connectors, 6/Carton"/>
    <n v="188.55199999999996"/>
    <n v="7"/>
    <n v="0.3"/>
    <n v="-2.693600000000032"/>
  </r>
  <r>
    <s v="CA-2017-104381"/>
    <d v="2021-03-16T00:00:00"/>
    <s v="Standard Class"/>
    <s v="RD-19810"/>
    <s v="Ross DeVincentis"/>
    <s v="Home Office"/>
    <s v="United States"/>
    <s v="Rochester"/>
    <s v="New York"/>
    <n v="14609"/>
    <s v="East"/>
    <s v="OFF-BI-10001628"/>
    <s v="Office Supplies"/>
    <x v="0"/>
    <s v="Acco Data Flex Cable Posts For Top &amp; Bottom Load Binders, 6&quot; Capacity"/>
    <n v="33.375999999999998"/>
    <n v="4"/>
    <n v="0.2"/>
    <n v="10.429999999999998"/>
  </r>
  <r>
    <s v="CA-2017-116855"/>
    <d v="2021-03-17T00:00:00"/>
    <s v="Standard Class"/>
    <s v="AI-10855"/>
    <s v="Arianne Irving"/>
    <s v="Consumer"/>
    <s v="United States"/>
    <s v="Chesapeake"/>
    <s v="Virginia"/>
    <n v="23320"/>
    <s v="South"/>
    <s v="FUR-CH-10003846"/>
    <s v="Furniture"/>
    <x v="13"/>
    <s v="Hon Valutask Swivel Chairs"/>
    <n v="504.90000000000003"/>
    <n v="5"/>
    <n v="0"/>
    <n v="80.78400000000002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57999999999953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FUR-BO-10003660"/>
    <s v="Furniture"/>
    <x v="12"/>
    <s v="Bush Cubix Collection Bookcases, Fully Assembled"/>
    <n v="220.98"/>
    <n v="1"/>
    <n v="0"/>
    <n v="50.825400000000002"/>
  </r>
  <r>
    <s v="CA-2017-107461"/>
    <d v="2021-03-21T00:00:00"/>
    <s v="Second Class"/>
    <s v="PK-19075"/>
    <s v="Pete Kriz"/>
    <s v="Consumer"/>
    <s v="United States"/>
    <s v="Columbia"/>
    <s v="South Carolina"/>
    <n v="29203"/>
    <s v="South"/>
    <s v="OFF-BI-10002003"/>
    <s v="Office Supplies"/>
    <x v="0"/>
    <s v="Ibico Presentation Index for Binding Systems"/>
    <n v="23.88"/>
    <n v="6"/>
    <n v="0"/>
    <n v="11.223600000000001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25999999999987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799999999996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OFF-AP-10001271"/>
    <s v="Office Supplies"/>
    <x v="3"/>
    <s v="Eureka The Boss Cordless Rechargeable Stick Vac"/>
    <n v="254.89999999999998"/>
    <n v="5"/>
    <n v="0"/>
    <n v="68.823000000000008"/>
  </r>
  <r>
    <s v="CA-2017-164000"/>
    <d v="2021-03-18T00:00:00"/>
    <s v="Standard Class"/>
    <s v="AH-10030"/>
    <s v="Aaron Hawkins"/>
    <s v="Corporate"/>
    <s v="United States"/>
    <s v="Philadelphia"/>
    <s v="Pennsylvania"/>
    <n v="19134"/>
    <s v="East"/>
    <s v="OFF-AR-10003183"/>
    <s v="Office Supplies"/>
    <x v="14"/>
    <s v="Avery Fluorescent Highlighter Four-Color Set"/>
    <n v="18.704000000000001"/>
    <n v="7"/>
    <n v="0.2"/>
    <n v="2.3379999999999983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TEC-PH-10004912"/>
    <s v="Technology"/>
    <x v="4"/>
    <s v="Cisco SPA112 2 Port Phone Adapter"/>
    <n v="219.80000000000004"/>
    <n v="5"/>
    <n v="0.2"/>
    <n v="24.727499999999971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FUR-CH-10002602"/>
    <s v="Furniture"/>
    <x v="13"/>
    <s v="DMI Arturo Collection Mission-style Design Wood Chair"/>
    <n v="317.05799999999999"/>
    <n v="3"/>
    <n v="0.3"/>
    <n v="-18.117599999999996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079999999999977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ST-10000060"/>
    <s v="Office Supplies"/>
    <x v="2"/>
    <s v="Fellowes Bankers Box Staxonsteel Drawer File/Stacking System"/>
    <n v="324.90000000000003"/>
    <n v="5"/>
    <n v="0"/>
    <n v="38.988000000000014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AR-10000799"/>
    <s v="Office Supplies"/>
    <x v="14"/>
    <s v="Col-Erase Pencils with Erasers"/>
    <n v="18.240000000000002"/>
    <n v="3"/>
    <n v="0"/>
    <n v="5.2895999999999983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FUR-CH-10002602"/>
    <s v="Furniture"/>
    <x v="13"/>
    <s v="DMI Arturo Collection Mission-style Design Wood Chair"/>
    <n v="271.76400000000001"/>
    <n v="2"/>
    <n v="0.1"/>
    <n v="48.313600000000008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OFF-BI-10001900"/>
    <s v="Office Supplies"/>
    <x v="0"/>
    <s v="DXL Angle-View Binders with Locking Rings, Black"/>
    <n v="14.376000000000001"/>
    <n v="3"/>
    <n v="0.2"/>
    <n v="4.851899999999999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76"/>
    <n v="3"/>
    <n v="0.2"/>
    <n v="28.49699999999995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PH-10003095"/>
    <s v="Technology"/>
    <x v="4"/>
    <s v="Samsung HM1900 Bluetooth Headset"/>
    <n v="52.679999999999993"/>
    <n v="3"/>
    <n v="0.2"/>
    <n v="19.754999999999999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32"/>
    <n v="1"/>
    <n v="0.6"/>
    <n v="-1.3208000000000002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ST-10003327"/>
    <s v="Office Supplies"/>
    <x v="2"/>
    <s v="Akro-Mils 12-Gallon Tote"/>
    <n v="29.79"/>
    <n v="3"/>
    <n v="0"/>
    <n v="8.6390999999999956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68000000000004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PA-10003651"/>
    <s v="Office Supplies"/>
    <x v="9"/>
    <s v="Xerox 1968"/>
    <n v="60.12"/>
    <n v="9"/>
    <n v="0"/>
    <n v="28.857599999999998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1617"/>
    <s v="Office Supplies"/>
    <x v="0"/>
    <s v="GBC Wire Binding Combs"/>
    <n v="24.816000000000003"/>
    <n v="3"/>
    <n v="0.2"/>
    <n v="8.3753999999999991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0145"/>
    <s v="Office Supplies"/>
    <x v="0"/>
    <s v="Zipper Ring Binder Pockets"/>
    <n v="14.976000000000003"/>
    <n v="6"/>
    <n v="0.2"/>
    <n v="5.4287999999999981"/>
  </r>
  <r>
    <s v="CA-2017-128699"/>
    <d v="2021-03-03T00:00:00"/>
    <s v="Second Class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2000000000004"/>
    <n v="1"/>
    <n v="0.2"/>
    <n v="7.19879999999999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871000000000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PH-10000148"/>
    <s v="Technology"/>
    <x v="4"/>
    <s v="Cyber Acoustics AC-202b Speech Recognition Stereo Headset"/>
    <n v="38.97"/>
    <n v="3"/>
    <n v="0"/>
    <n v="0.77940000000000076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OFF-BI-10003476"/>
    <s v="Office Supplies"/>
    <x v="0"/>
    <s v="Avery Metallic Poly Binders"/>
    <n v="45.84"/>
    <n v="8"/>
    <n v="0"/>
    <n v="22.0032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PA-10004519"/>
    <s v="Office Supplies"/>
    <x v="9"/>
    <s v="Spiral Phone Message Books with Labels by Adams"/>
    <n v="28.672000000000004"/>
    <n v="8"/>
    <n v="0.2"/>
    <n v="10.393600000000001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AP-10001947"/>
    <s v="Office Supplies"/>
    <x v="3"/>
    <s v="Acco 6 Outlet Guardian Premium Plus Surge Suppressor"/>
    <n v="29.311999999999994"/>
    <n v="8"/>
    <n v="0.8"/>
    <n v="-74.74560000000001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PA-10004735"/>
    <s v="Office Supplies"/>
    <x v="9"/>
    <s v="Xerox 1905"/>
    <n v="45.36"/>
    <n v="7"/>
    <n v="0"/>
    <n v="21.772800000000004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BI-10003429"/>
    <s v="Office Supplies"/>
    <x v="0"/>
    <s v="Cardinal HOLDit! Binder Insert Strips,Extra Strips"/>
    <n v="10.128"/>
    <n v="2"/>
    <n v="0.2"/>
    <n v="3.6714000000000002"/>
  </r>
  <r>
    <s v="CA-2017-158729"/>
    <d v="2021-03-19T00:00:00"/>
    <s v="First Class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2400000000025"/>
  </r>
  <r>
    <s v="CA-2017-148012"/>
    <d v="2021-03-09T00:00:00"/>
    <s v="Standard Class"/>
    <s v="KM-16225"/>
    <s v="Kalyca Meade"/>
    <s v="Corporate"/>
    <s v="United States"/>
    <s v="Philadelphia"/>
    <s v="Pennsylvania"/>
    <n v="19143"/>
    <s v="East"/>
    <s v="OFF-AR-10004757"/>
    <s v="Office Supplies"/>
    <x v="14"/>
    <s v="Crayola Colored Pencils"/>
    <n v="2.6240000000000001"/>
    <n v="1"/>
    <n v="0.2"/>
    <n v="0.42639999999999978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2000000000005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AR-10001860"/>
    <s v="Office Supplies"/>
    <x v="14"/>
    <s v="BIC Liqua Brite Liner"/>
    <n v="34.700000000000003"/>
    <n v="5"/>
    <n v="0"/>
    <n v="12.492000000000001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BI-10001636"/>
    <s v="Office Supplies"/>
    <x v="0"/>
    <s v="Ibico Plastic and Wire Spiral Binding Combs"/>
    <n v="33.72"/>
    <n v="4"/>
    <n v="0"/>
    <n v="15.511199999999999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PA-10000349"/>
    <s v="Office Supplies"/>
    <x v="9"/>
    <s v="Easy-staple paper"/>
    <n v="14.940000000000001"/>
    <n v="3"/>
    <n v="0"/>
    <n v="7.0218000000000007"/>
  </r>
  <r>
    <s v="CA-2017-169411"/>
    <d v="2021-03-24T00:00:00"/>
    <s v="Standard Class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273999999999972"/>
  </r>
  <r>
    <s v="CA-2017-112487"/>
    <d v="2021-03-26T00:00:00"/>
    <s v="Standard Class"/>
    <s v="TC-21535"/>
    <s v="Tracy Collins"/>
    <s v="Home Office"/>
    <s v="United States"/>
    <s v="Columbus"/>
    <s v="Ohio"/>
    <n v="43229"/>
    <s v="East"/>
    <s v="OFF-BI-10000494"/>
    <s v="Office Supplies"/>
    <x v="0"/>
    <s v="Acco Economy Flexible Poly Round Ring Binder"/>
    <n v="3.1320000000000001"/>
    <n v="2"/>
    <n v="0.7"/>
    <n v="-2.6099999999999994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FA-10000611"/>
    <s v="Office Supplies"/>
    <x v="5"/>
    <s v="Binder Clips by OIC"/>
    <n v="3.5519999999999996"/>
    <n v="3"/>
    <n v="0.2"/>
    <n v="1.2431999999999999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PA-10000304"/>
    <s v="Office Supplies"/>
    <x v="9"/>
    <s v="Xerox 1995"/>
    <n v="15.552000000000003"/>
    <n v="3"/>
    <n v="0.2"/>
    <n v="5.4432"/>
  </r>
  <r>
    <s v="CA-2017-157980"/>
    <d v="2021-03-07T00:00:00"/>
    <s v="First Class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399999999999"/>
    <n v="2"/>
    <n v="0.2"/>
    <n v="25.596799999999998"/>
  </r>
  <r>
    <s v="CA-2017-119564"/>
    <d v="2021-03-15T00:00:00"/>
    <s v="Standard Class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9110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TEC-MA-10003183"/>
    <s v="Technology"/>
    <x v="16"/>
    <s v="DYMO CardScan Personal V9 Business Card Scanner"/>
    <n v="479.97"/>
    <n v="3"/>
    <n v="0"/>
    <n v="239.985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FUR-CH-10002439"/>
    <s v="Furniture"/>
    <x v="13"/>
    <s v="Iceberg Nesting Folding Chair, 19w x 6d x 43h"/>
    <n v="232.88"/>
    <n v="4"/>
    <n v="0"/>
    <n v="60.5488"/>
  </r>
  <r>
    <s v="CA-2017-137456"/>
    <d v="2021-03-21T00:00:00"/>
    <s v="Same Day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.0048000000000012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OFF-ST-10001228"/>
    <s v="Office Supplies"/>
    <x v="2"/>
    <s v="Personal File Boxes with Fold-Down Carry Handle"/>
    <n v="37.392000000000003"/>
    <n v="3"/>
    <n v="0.2"/>
    <n v="2.336999999999998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45999999999997"/>
  </r>
  <r>
    <s v="CA-2017-109715"/>
    <d v="2021-03-09T00:00:00"/>
    <s v="Standard Class"/>
    <s v="AH-10585"/>
    <s v="Angele Hood"/>
    <s v="Consumer"/>
    <s v="United States"/>
    <s v="Chicago"/>
    <s v="Illinois"/>
    <n v="60623"/>
    <s v="Central"/>
    <s v="OFF-PA-10004965"/>
    <s v="Office Supplies"/>
    <x v="9"/>
    <s v="Xerox 1921"/>
    <n v="15.984000000000002"/>
    <n v="2"/>
    <n v="0.2"/>
    <n v="4.9949999999999992"/>
  </r>
  <r>
    <s v="CA-2017-158673"/>
    <d v="2021-03-29T00:00:00"/>
    <s v="Standard Class"/>
    <s v="KB-16600"/>
    <s v="Ken Brennan"/>
    <s v="Corporate"/>
    <s v="United States"/>
    <s v="Grand Rapids"/>
    <s v="Michigan"/>
    <n v="49505"/>
    <s v="Central"/>
    <s v="OFF-PA-10000994"/>
    <s v="Office Supplies"/>
    <x v="9"/>
    <s v="Xerox 1915"/>
    <n v="209.7"/>
    <n v="2"/>
    <n v="0"/>
    <n v="100.65599999999999"/>
  </r>
  <r>
    <s v="CA-2017-127516"/>
    <d v="2021-03-28T00:00:00"/>
    <s v="Standard Class"/>
    <s v="EH-14005"/>
    <s v="Erica Hernandez"/>
    <s v="Home Office"/>
    <s v="United States"/>
    <s v="Nashville"/>
    <s v="Tennessee"/>
    <n v="37211"/>
    <s v="South"/>
    <s v="OFF-ST-10000736"/>
    <s v="Office Supplies"/>
    <x v="2"/>
    <s v="Carina Double Wide Media Storage Towers in Natural &amp; Black"/>
    <n v="64.784000000000006"/>
    <n v="1"/>
    <n v="0.2"/>
    <n v="-12.956800000000005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R-10000122"/>
    <s v="Office Supplies"/>
    <x v="14"/>
    <s v="Newell 314"/>
    <n v="11.16"/>
    <n v="2"/>
    <n v="0"/>
    <n v="2.7899999999999991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FUR-TA-10003748"/>
    <s v="Furniture"/>
    <x v="10"/>
    <s v="Bevis 36 x 72 Conference Tables"/>
    <n v="896.32799999999997"/>
    <n v="9"/>
    <n v="0.2"/>
    <n v="22.408199999999994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P-10001394"/>
    <s v="Office Supplies"/>
    <x v="3"/>
    <s v="Harmony Air Purifier"/>
    <n v="189"/>
    <n v="1"/>
    <n v="0"/>
    <n v="68.039999999999992"/>
  </r>
  <r>
    <s v="US-2017-136189"/>
    <d v="2021-03-07T00:00:00"/>
    <s v="Standard Class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37799999999997"/>
  </r>
  <r>
    <s v="CA-2017-130309"/>
    <d v="2021-03-17T00:00:00"/>
    <s v="Standard Class"/>
    <s v="GB-14575"/>
    <s v="Giulietta Baptist"/>
    <s v="Consumer"/>
    <s v="United States"/>
    <s v="Arlington"/>
    <s v="Virginia"/>
    <n v="22204"/>
    <s v="South"/>
    <s v="OFF-ST-10003208"/>
    <s v="Office Supplies"/>
    <x v="2"/>
    <s v="Adjustable Depth Letter/Legal Cart"/>
    <n v="544.38"/>
    <n v="3"/>
    <n v="0"/>
    <n v="157.87019999999993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TEC-PH-10003215"/>
    <s v="Technology"/>
    <x v="4"/>
    <s v="Jackery Bar Premium Fast-charging Portable Charger"/>
    <n v="95.84"/>
    <n v="4"/>
    <n v="0.2"/>
    <n v="34.741999999999997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OFF-PA-10002005"/>
    <s v="Office Supplies"/>
    <x v="9"/>
    <s v="Xerox 225"/>
    <n v="12.96"/>
    <n v="2"/>
    <n v="0"/>
    <n v="6.2208000000000006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OFF-PA-10001937"/>
    <s v="Office Supplies"/>
    <x v="9"/>
    <s v="Xerox 21"/>
    <n v="10.368000000000002"/>
    <n v="2"/>
    <n v="0.2"/>
    <n v="3.628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0000000000013"/>
    <n v="1"/>
    <n v="0.6"/>
    <n v="-66.06199999999999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CH-10003973"/>
    <s v="Furniture"/>
    <x v="13"/>
    <s v="GuestStacker Chair with Chrome Finish Legs"/>
    <n v="520.46399999999994"/>
    <n v="2"/>
    <n v="0.3"/>
    <n v="-14.870399999999961"/>
  </r>
  <r>
    <s v="CA-2017-155075"/>
    <d v="2021-03-02T00:00:00"/>
    <s v="Standard Class"/>
    <s v="GW-14605"/>
    <s v="Giulietta Weimer"/>
    <s v="Consumer"/>
    <s v="United States"/>
    <s v="Philadelphia"/>
    <s v="Pennsylvania"/>
    <n v="19140"/>
    <s v="East"/>
    <s v="OFF-BI-10003650"/>
    <s v="Office Supplies"/>
    <x v="0"/>
    <s v="GBC DocuBind 300 Electric Binding Machine"/>
    <n v="631.17600000000016"/>
    <n v="4"/>
    <n v="0.7"/>
    <n v="-462.8623999999999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AP-10002350"/>
    <s v="Office Supplies"/>
    <x v="3"/>
    <s v="Belkin F9H710-06 7 Outlet SurgeMaster Surge Protector"/>
    <n v="45.216000000000001"/>
    <n v="3"/>
    <n v="0.2"/>
    <n v="4.5215999999999994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BI-10004233"/>
    <s v="Office Supplies"/>
    <x v="0"/>
    <s v="GBC Pre-Punched Binding Paper, Plastic, White, 8-1/2&quot; x 11&quot;"/>
    <n v="28.782000000000004"/>
    <n v="6"/>
    <n v="0.7"/>
    <n v="-21.106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PA-10001892"/>
    <s v="Office Supplies"/>
    <x v="9"/>
    <s v="Rediform Wirebound &quot;Phone Memo&quot; Message Book, 11 x 5-3/4"/>
    <n v="24.448"/>
    <n v="4"/>
    <n v="0.2"/>
    <n v="8.8623999999999992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TEC-CO-10001449"/>
    <s v="Technology"/>
    <x v="8"/>
    <s v="Hewlett Packard LaserJet 3310 Copier"/>
    <n v="2879.9520000000002"/>
    <n v="6"/>
    <n v="0.2"/>
    <n v="1007.9831999999999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OFF-BI-10001670"/>
    <s v="Office Supplies"/>
    <x v="0"/>
    <s v="Vinyl Sectional Post Binders"/>
    <n v="90.480000000000018"/>
    <n v="3"/>
    <n v="0.2"/>
    <n v="33.93"/>
  </r>
  <r>
    <s v="CA-2017-143126"/>
    <d v="2021-03-03T00:00:00"/>
    <s v="Second Class"/>
    <s v="CM-12655"/>
    <s v="Corinna Mitchell"/>
    <s v="Home Office"/>
    <s v="United States"/>
    <s v="Seattle"/>
    <s v="Washington"/>
    <n v="98115"/>
    <s v="West"/>
    <s v="FUR-TA-10002958"/>
    <s v="Furniture"/>
    <x v="10"/>
    <s v="Bevis Oval Conference Table, Walnut"/>
    <n v="521.96"/>
    <n v="2"/>
    <n v="0"/>
    <n v="88.733199999999954"/>
  </r>
  <r>
    <s v="CA-2017-136063"/>
    <d v="2021-03-15T00:00:00"/>
    <s v="Standard Class"/>
    <s v="SS-20140"/>
    <s v="Saphhira Shifley"/>
    <s v="Corporate"/>
    <s v="United States"/>
    <s v="Oak Park"/>
    <s v="Illinois"/>
    <n v="60302"/>
    <s v="Central"/>
    <s v="OFF-AR-10000823"/>
    <s v="Office Supplies"/>
    <x v="14"/>
    <s v="Newell 307"/>
    <n v="10.192000000000002"/>
    <n v="7"/>
    <n v="0.2"/>
    <n v="1.0192000000000001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T-10001526"/>
    <s v="Office Supplies"/>
    <x v="2"/>
    <s v="Iceberg Mobile Mega Data/Printer Cart "/>
    <n v="481.32"/>
    <n v="4"/>
    <n v="0"/>
    <n v="125.14319999999998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48000000000003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4381"/>
    <s v="Office Supplies"/>
    <x v="9"/>
    <s v="14-7/8 x 11 Blue Bar Computer Printout Paper"/>
    <n v="96.08"/>
    <n v="2"/>
    <n v="0"/>
    <n v="46.118399999999994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FA-10003059"/>
    <s v="Office Supplies"/>
    <x v="5"/>
    <s v="Assorted Color Push Pins"/>
    <n v="3.62"/>
    <n v="2"/>
    <n v="0"/>
    <n v="1.1945999999999999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0994"/>
    <s v="Office Supplies"/>
    <x v="9"/>
    <s v="Xerox 1915"/>
    <n v="629.09999999999991"/>
    <n v="6"/>
    <n v="0"/>
    <n v="301.96799999999996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TEC-PH-10002890"/>
    <s v="Technology"/>
    <x v="4"/>
    <s v="AT&amp;T 17929 Lendline Telephone"/>
    <n v="90.48"/>
    <n v="2"/>
    <n v="0"/>
    <n v="23.524799999999999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OFF-PA-10001972"/>
    <s v="Office Supplies"/>
    <x v="9"/>
    <s v="Xerox 214"/>
    <n v="19.440000000000001"/>
    <n v="3"/>
    <n v="0"/>
    <n v="9.3312000000000008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FUR-CH-10000155"/>
    <s v="Furniture"/>
    <x v="13"/>
    <s v="Global Comet Stacking Armless Chair"/>
    <n v="897.15000000000009"/>
    <n v="3"/>
    <n v="0"/>
    <n v="251.20200000000003"/>
  </r>
  <r>
    <s v="CA-2017-106782"/>
    <d v="2021-03-21T00:00:00"/>
    <s v="Standard Class"/>
    <s v="LP-17095"/>
    <s v="Liz Preis"/>
    <s v="Consumer"/>
    <s v="United States"/>
    <s v="Lafayette"/>
    <s v="Indiana"/>
    <n v="47905"/>
    <s v="Central"/>
    <s v="OFF-ST-10004459"/>
    <s v="Office Supplies"/>
    <x v="2"/>
    <s v="Tennsco Single-Tier Lockers"/>
    <n v="375.34"/>
    <n v="1"/>
    <n v="0"/>
    <n v="18.766999999999996"/>
  </r>
  <r>
    <s v="CA-2017-117926"/>
    <d v="2021-03-08T00:00:00"/>
    <s v="Second Class"/>
    <s v="AS-10225"/>
    <s v="Alan Schoenberger"/>
    <s v="Corporate"/>
    <s v="United States"/>
    <s v="San Francisco"/>
    <s v="California"/>
    <n v="94109"/>
    <s v="West"/>
    <s v="OFF-AP-10002670"/>
    <s v="Office Supplies"/>
    <x v="3"/>
    <s v="Belkin 8-Outlet Premiere SurgeMaster II Surge Protectors"/>
    <n v="69.48"/>
    <n v="1"/>
    <n v="0"/>
    <n v="20.843999999999994"/>
  </r>
  <r>
    <s v="US-2017-122714"/>
    <d v="2021-03-07T00:00:00"/>
    <s v="Standard Class"/>
    <s v="HG-14965"/>
    <s v="Henry Goldwyn"/>
    <s v="Corporate"/>
    <s v="United States"/>
    <s v="Chicago"/>
    <s v="Illinois"/>
    <n v="60653"/>
    <s v="Central"/>
    <s v="OFF-BI-10001120"/>
    <s v="Office Supplies"/>
    <x v="0"/>
    <s v="Ibico EPK-21 Electric Binding System"/>
    <n v="1889.9899999999998"/>
    <n v="5"/>
    <n v="0.8"/>
    <n v="-2929.4845000000005"/>
  </r>
  <r>
    <s v="CA-2017-156720"/>
    <d v="2021-03-30T00:00:00"/>
    <s v="Standard Class"/>
    <s v="JM-15580"/>
    <s v="Jill Matthias"/>
    <s v="Consumer"/>
    <s v="United States"/>
    <s v="Loveland"/>
    <s v="Colorado"/>
    <n v="80538"/>
    <s v="West"/>
    <s v="OFF-FA-10003472"/>
    <s v="Office Supplies"/>
    <x v="5"/>
    <s v="Bagged Rubber Bands"/>
    <n v="3.024"/>
    <n v="3"/>
    <n v="0.2"/>
    <n v="-0.6048"/>
  </r>
  <r>
    <s v="CA-2017-146626"/>
    <d v="2021-03-29T00:00:00"/>
    <s v="Standard Class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14400000000001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440000000000005"/>
    <n v="4"/>
    <n v="0.2"/>
    <n v="1.9223999999999997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CH-10001394"/>
    <s v="Furniture"/>
    <x v="13"/>
    <s v="Global Leather Executive Chair"/>
    <n v="842.37600000000009"/>
    <n v="3"/>
    <n v="0.2"/>
    <n v="105.29699999999988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2000000000012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024999999999942"/>
  </r>
  <r>
    <s v="US-2017-103814"/>
    <d v="2021-03-09T00:00:00"/>
    <s v="Standard Class"/>
    <s v="LH-16900"/>
    <s v="Lena Hernandez"/>
    <s v="Consumer"/>
    <s v="United States"/>
    <s v="Park Ridge"/>
    <s v="Illinois"/>
    <n v="60068"/>
    <s v="Central"/>
    <s v="OFF-PA-10001019"/>
    <s v="Office Supplies"/>
    <x v="9"/>
    <s v="Xerox 1884"/>
    <n v="143.85600000000002"/>
    <n v="9"/>
    <n v="0.2"/>
    <n v="48.551399999999994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PA-10003022"/>
    <s v="Office Supplies"/>
    <x v="9"/>
    <s v="Standard Line “While You Were Out” Hardbound Telephone Message Book"/>
    <n v="87.92"/>
    <n v="4"/>
    <n v="0"/>
    <n v="40.443199999999997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2854"/>
    <s v="Office Supplies"/>
    <x v="0"/>
    <s v="Performers Binder/Pad Holder, Black"/>
    <n v="22.424000000000003"/>
    <n v="1"/>
    <n v="0.2"/>
    <n v="8.4089999999999989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1670"/>
    <s v="Office Supplies"/>
    <x v="0"/>
    <s v="Vinyl Sectional Post Binders"/>
    <n v="90.480000000000018"/>
    <n v="3"/>
    <n v="0.2"/>
    <n v="33.93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ST-10001837"/>
    <s v="Office Supplies"/>
    <x v="2"/>
    <s v="SAFCO Mobile Desk Side File, Wire Frame"/>
    <n v="42.76"/>
    <n v="1"/>
    <n v="0"/>
    <n v="11.117599999999999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OFF-FA-10000089"/>
    <s v="Office Supplies"/>
    <x v="5"/>
    <s v="Acco Glide Clips"/>
    <n v="19.600000000000001"/>
    <n v="5"/>
    <n v="0"/>
    <n v="9.6039999999999992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37999999999997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0000000000001"/>
    <n v="5"/>
    <n v="0.2"/>
    <n v="4.0080000000000009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OFF-ST-10002554"/>
    <s v="Office Supplies"/>
    <x v="2"/>
    <s v="Tennsco Industrial Shelving"/>
    <n v="78.256"/>
    <n v="2"/>
    <n v="0.2"/>
    <n v="-17.607599999999998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BO-10000468"/>
    <s v="Furniture"/>
    <x v="12"/>
    <s v="O'Sullivan 2-Shelf Heavy-Duty Bookcases"/>
    <n v="102.01800000000001"/>
    <n v="7"/>
    <n v="0.7"/>
    <n v="-183.6323999999999"/>
  </r>
  <r>
    <s v="CA-2017-121741"/>
    <d v="2021-03-26T00:00:00"/>
    <s v="Same Day"/>
    <s v="YC-21895"/>
    <s v="Yoseph Carroll"/>
    <s v="Corporate"/>
    <s v="United States"/>
    <s v="Fremont"/>
    <s v="Nebraska"/>
    <n v="68025"/>
    <s v="Central"/>
    <s v="OFF-ST-10004459"/>
    <s v="Office Supplies"/>
    <x v="2"/>
    <s v="Tennsco Single-Tier Lockers"/>
    <n v="750.68"/>
    <n v="2"/>
    <n v="0"/>
    <n v="37.53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CH-10004540"/>
    <s v="Furniture"/>
    <x v="13"/>
    <s v="Global Chrome Stack Chair"/>
    <n v="239.95999999999998"/>
    <n v="10"/>
    <n v="0.3"/>
    <n v="-10.28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68000000000001"/>
    <n v="2"/>
    <n v="0.2"/>
    <n v="6.845999999999996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AR-10000716"/>
    <s v="Office Supplies"/>
    <x v="14"/>
    <s v="DIXON Ticonderoga Erasable Checking Pencils"/>
    <n v="13.392000000000001"/>
    <n v="3"/>
    <n v="0.2"/>
    <n v="3.180600000000000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PA-10002709"/>
    <s v="Office Supplies"/>
    <x v="9"/>
    <s v="Xerox 1956"/>
    <n v="23.92"/>
    <n v="5"/>
    <n v="0.2"/>
    <n v="8.6709999999999994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6799999999999"/>
    <n v="4"/>
    <n v="0.2"/>
    <n v="-28.796399999999984"/>
  </r>
  <r>
    <s v="CA-2017-160885"/>
    <d v="2021-03-02T00:00:00"/>
    <s v="Standard Class"/>
    <s v="JK-16090"/>
    <s v="Juliana Krohn"/>
    <s v="Consumer"/>
    <s v="United States"/>
    <s v="Omaha"/>
    <s v="Nebraska"/>
    <n v="68104"/>
    <s v="Central"/>
    <s v="TEC-PH-10001795"/>
    <s v="Technology"/>
    <x v="4"/>
    <s v="ClearOne CHATAttach 160 - speaker phone"/>
    <n v="2479.96"/>
    <n v="4"/>
    <n v="0"/>
    <n v="743.98799999999983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0999999999999"/>
    <n v="3"/>
    <n v="0"/>
    <n v="32.05979999999999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AP-10003590"/>
    <s v="Office Supplies"/>
    <x v="3"/>
    <s v="Hoover WindTunnel Plus Canister Vacuum"/>
    <n v="1089.75"/>
    <n v="3"/>
    <n v="0"/>
    <n v="305.13000000000011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LA-10003510"/>
    <s v="Office Supplies"/>
    <x v="11"/>
    <s v="Avery 4027 File Folder Labels for Dot Matrix Printers, 5000 Labels per Box, White"/>
    <n v="61.06"/>
    <n v="2"/>
    <n v="0"/>
    <n v="28.087600000000002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FUR-BO-10003159"/>
    <s v="Furniture"/>
    <x v="12"/>
    <s v="Sauder Camden County Collection Libraries, Planked Cherry Finish"/>
    <n v="459.92"/>
    <n v="4"/>
    <n v="0"/>
    <n v="41.39279999999996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PA-10002713"/>
    <s v="Office Supplies"/>
    <x v="9"/>
    <s v="Adams Phone Message Book, 200 Message Capacity, 8 1/16” x 11”"/>
    <n v="27.52"/>
    <n v="4"/>
    <n v="0"/>
    <n v="12.659199999999998"/>
  </r>
  <r>
    <s v="CA-2017-129581"/>
    <d v="2021-03-11T00:00:00"/>
    <s v="Standard Class"/>
    <s v="KN-16390"/>
    <s v="Katherine Nockton"/>
    <s v="Corporate"/>
    <s v="United States"/>
    <s v="New Bedford"/>
    <s v="Massachusetts"/>
    <n v="2740"/>
    <s v="East"/>
    <s v="TEC-PH-10001527"/>
    <s v="Technology"/>
    <x v="4"/>
    <s v="Plantronics MX500i Earset"/>
    <n v="128.85000000000002"/>
    <n v="3"/>
    <n v="0"/>
    <n v="3.8654999999999973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BI-10001718"/>
    <s v="Office Supplies"/>
    <x v="0"/>
    <s v="GBC DocuBind P50 Personal Binding Machine"/>
    <n v="153.55199999999999"/>
    <n v="3"/>
    <n v="0.2"/>
    <n v="51.823799999999999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ST-10002756"/>
    <s v="Office Supplies"/>
    <x v="2"/>
    <s v="Tennsco Stur-D-Stor Boltless Shelving, 5 Shelves, 24&quot; Deep, Sand"/>
    <n v="270.62"/>
    <n v="2"/>
    <n v="0"/>
    <n v="2.7062000000000239"/>
  </r>
  <r>
    <s v="US-2017-162068"/>
    <d v="2021-03-28T00:00:00"/>
    <s v="Second Class"/>
    <s v="PC-18745"/>
    <s v="Pamela Coakley"/>
    <s v="Corporate"/>
    <s v="United States"/>
    <s v="Loveland"/>
    <s v="Colorado"/>
    <n v="80538"/>
    <s v="West"/>
    <s v="OFF-BI-10002813"/>
    <s v="Office Supplies"/>
    <x v="0"/>
    <s v="Avery Reinforcements for Hole-Punch Pages"/>
    <n v="1.1880000000000002"/>
    <n v="2"/>
    <n v="0.7"/>
    <n v="-0.98999999999999977"/>
  </r>
  <r>
    <s v="CA-2017-152660"/>
    <d v="2021-03-04T00:00:00"/>
    <s v="Standard Class"/>
    <s v="CB-12415"/>
    <s v="Christy Brittain"/>
    <s v="Consumer"/>
    <s v="United States"/>
    <s v="Chicago"/>
    <s v="Illinois"/>
    <n v="60610"/>
    <s v="Central"/>
    <s v="OFF-ST-10000532"/>
    <s v="Office Supplies"/>
    <x v="2"/>
    <s v="Advantus Rolling Drawer Organizers"/>
    <n v="61.567999999999998"/>
    <n v="2"/>
    <n v="0.2"/>
    <n v="4.6175999999999995"/>
  </r>
  <r>
    <s v="CA-2017-101322"/>
    <d v="2021-03-28T00:00:00"/>
    <s v="First Class"/>
    <s v="JG-15310"/>
    <s v="Jason Gross"/>
    <s v="Corporate"/>
    <s v="United States"/>
    <s v="Long Beach"/>
    <s v="California"/>
    <n v="90805"/>
    <s v="West"/>
    <s v="FUR-CH-10003968"/>
    <s v="Furniture"/>
    <x v="13"/>
    <s v="Novimex Turbo Task Chair"/>
    <n v="340.70400000000006"/>
    <n v="6"/>
    <n v="0.2"/>
    <n v="-34.070400000000006"/>
  </r>
  <r>
    <s v="CA-2017-107986"/>
    <d v="2021-03-13T00:00:00"/>
    <s v="Same Day"/>
    <s v="MW-18220"/>
    <s v="Mitch Webber"/>
    <s v="Consumer"/>
    <s v="United States"/>
    <s v="Seattle"/>
    <s v="Washington"/>
    <n v="98103"/>
    <s v="West"/>
    <s v="OFF-ST-10001325"/>
    <s v="Office Supplies"/>
    <x v="2"/>
    <s v="Sterilite Officeware Hinged File Box"/>
    <n v="31.44"/>
    <n v="3"/>
    <n v="0"/>
    <n v="8.488800000000001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019"/>
    <s v="Office Supplies"/>
    <x v="9"/>
    <s v="Xerox 1931"/>
    <n v="25.920000000000005"/>
    <n v="5"/>
    <n v="0.2"/>
    <n v="9.071999999999999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BI-10003429"/>
    <s v="Office Supplies"/>
    <x v="0"/>
    <s v="Cardinal HOLDit! Binder Insert Strips,Extra Strips"/>
    <n v="6.3299999999999992"/>
    <n v="5"/>
    <n v="0.8"/>
    <n v="-9.8114999999999988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176"/>
    <s v="Office Supplies"/>
    <x v="9"/>
    <s v="Xerox 1887"/>
    <n v="75.88"/>
    <n v="5"/>
    <n v="0.2"/>
    <n v="26.557999999999993"/>
  </r>
  <r>
    <s v="CA-2017-145660"/>
    <d v="2021-03-01T00:00:00"/>
    <s v="First Class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20000000000006"/>
    <n v="2"/>
    <n v="0.2"/>
    <n v="1.73520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03999999999994"/>
    <n v="4"/>
    <n v="0.2"/>
    <n v="19.0848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AR-10000422"/>
    <s v="Office Supplies"/>
    <x v="14"/>
    <s v="Pencil and Crayon Sharpener"/>
    <n v="12.263999999999999"/>
    <n v="7"/>
    <n v="0.2"/>
    <n v="1.0730999999999993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ST-10004123"/>
    <s v="Office Supplies"/>
    <x v="2"/>
    <s v="Safco Industrial Wire Shelving System"/>
    <n v="218.35200000000003"/>
    <n v="3"/>
    <n v="0.2"/>
    <n v="-54.588000000000008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TEC-PH-10001448"/>
    <s v="Technology"/>
    <x v="4"/>
    <s v="Anker Astro 15000mAh USB Portable Charger"/>
    <n v="39.992000000000004"/>
    <n v="1"/>
    <n v="0.2"/>
    <n v="-7.9984000000000073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FUR-CH-10004983"/>
    <s v="Furniture"/>
    <x v="13"/>
    <s v="Office Star - Mid Back Dual function Ergonomic High Back Chair with 2-Way Adjustable Arms"/>
    <n v="1159.056"/>
    <n v="9"/>
    <n v="0.2"/>
    <n v="43.464599999999905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OFF-AR-10004022"/>
    <s v="Office Supplies"/>
    <x v="14"/>
    <s v="Panasonic KP-380BK Classic Electric Pencil Sharpener"/>
    <n v="179.89999999999998"/>
    <n v="5"/>
    <n v="0"/>
    <n v="44.974999999999987"/>
  </r>
  <r>
    <s v="CA-2017-149706"/>
    <d v="2021-03-11T00:00:00"/>
    <s v="First Class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2"/>
    <n v="7"/>
    <n v="0.2"/>
    <n v="23.262400000000003"/>
  </r>
  <r>
    <s v="CA-2017-143756"/>
    <d v="2021-03-02T00:00:00"/>
    <s v="First Class"/>
    <s v="ME-17725"/>
    <s v="Max Engle"/>
    <s v="Consumer"/>
    <s v="United States"/>
    <s v="Salem"/>
    <s v="Virginia"/>
    <n v="24153"/>
    <s v="South"/>
    <s v="FUR-CH-10001854"/>
    <s v="Furniture"/>
    <x v="13"/>
    <s v="Office Star - Professional Matrix Back Chair with 2-to-1 Synchro Tilt and Mesh Fabric Seat"/>
    <n v="701.96"/>
    <n v="2"/>
    <n v="0"/>
    <n v="168.47040000000004"/>
  </r>
  <r>
    <s v="US-2017-113992"/>
    <d v="2021-03-14T00:00:00"/>
    <s v="Standard Class"/>
    <s v="LC-16885"/>
    <s v="Lena Creighton"/>
    <s v="Consumer"/>
    <s v="United States"/>
    <s v="Plano"/>
    <s v="Texas"/>
    <n v="75023"/>
    <s v="Central"/>
    <s v="FUR-TA-10000577"/>
    <s v="Furniture"/>
    <x v="10"/>
    <s v="Bretford CR4500 Series Slim Rectangular Table"/>
    <n v="974.98799999999983"/>
    <n v="4"/>
    <n v="0.3"/>
    <n v="-97.49879999999996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1970"/>
    <s v="Office Supplies"/>
    <x v="9"/>
    <s v="Xerox 1908"/>
    <n v="279.89999999999998"/>
    <n v="5"/>
    <n v="0"/>
    <n v="137.15100000000001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BI-10001524"/>
    <s v="Office Supplies"/>
    <x v="0"/>
    <s v="GBC Premium Transparent Covers with Diagonal Lined Pattern"/>
    <n v="50.352000000000004"/>
    <n v="3"/>
    <n v="0.2"/>
    <n v="17.623199999999997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4156"/>
    <s v="Office Supplies"/>
    <x v="9"/>
    <s v="Xerox 188"/>
    <n v="34.019999999999996"/>
    <n v="3"/>
    <n v="0"/>
    <n v="16.669799999999999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OFF-AR-10001315"/>
    <s v="Office Supplies"/>
    <x v="14"/>
    <s v="Newell 310"/>
    <n v="8.8000000000000007"/>
    <n v="5"/>
    <n v="0"/>
    <n v="2.5519999999999996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88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82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PA-10002986"/>
    <s v="Office Supplies"/>
    <x v="9"/>
    <s v="Xerox 1898"/>
    <n v="13.36"/>
    <n v="2"/>
    <n v="0"/>
    <n v="6.4127999999999998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ST-10002289"/>
    <s v="Office Supplies"/>
    <x v="2"/>
    <s v="Safco Wire Cube Shelving System, For Use as 4 or 5 14&quot; Cubes, Black"/>
    <n v="158.9"/>
    <n v="5"/>
    <n v="0"/>
    <n v="7.9449999999999932"/>
  </r>
  <r>
    <s v="CA-2017-104108"/>
    <d v="2021-03-02T00:00:00"/>
    <s v="Standard Class"/>
    <s v="RP-19855"/>
    <s v="Roy Phan"/>
    <s v="Corporate"/>
    <s v="United States"/>
    <s v="Houston"/>
    <s v="Texas"/>
    <n v="77095"/>
    <s v="Central"/>
    <s v="OFF-AR-10000817"/>
    <s v="Office Supplies"/>
    <x v="14"/>
    <s v="Manco Dry-Lighter Erasable Highlighter"/>
    <n v="12.160000000000002"/>
    <n v="5"/>
    <n v="0.2"/>
    <n v="2.1279999999999988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200000000003"/>
    <n v="6"/>
    <n v="0.6"/>
    <n v="-292.98719999999997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28000000000003"/>
    <n v="3"/>
    <n v="0.6"/>
    <n v="-26.755799999999994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4000000000003"/>
    <n v="3"/>
    <n v="0.2"/>
    <n v="-4.908000000000003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OFF-AR-10002987"/>
    <s v="Office Supplies"/>
    <x v="14"/>
    <s v="Prismacolor Color Pencil Set"/>
    <n v="95.231999999999999"/>
    <n v="6"/>
    <n v="0.2"/>
    <n v="24.998400000000011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BI-10002498"/>
    <s v="Office Supplies"/>
    <x v="0"/>
    <s v="Clear Mylar Reinforcing Strips"/>
    <n v="14.952000000000002"/>
    <n v="1"/>
    <n v="0.2"/>
    <n v="5.0462999999999996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PA-10002245"/>
    <s v="Office Supplies"/>
    <x v="9"/>
    <s v="Xerox 1895"/>
    <n v="17.940000000000001"/>
    <n v="3"/>
    <n v="0"/>
    <n v="8.0730000000000004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TEC-PH-10004522"/>
    <s v="Technology"/>
    <x v="4"/>
    <s v="Dexim XPower Skin Super-Thin Power Case for iPhone 5 - Black"/>
    <n v="116.98"/>
    <n v="2"/>
    <n v="0"/>
    <n v="29.245000000000005"/>
  </r>
  <r>
    <s v="CA-2017-165715"/>
    <d v="2021-03-02T00:00:00"/>
    <s v="Standard Class"/>
    <s v="BG-11035"/>
    <s v="Barry Gonzalez"/>
    <s v="Consumer"/>
    <s v="United States"/>
    <s v="Greensboro"/>
    <s v="North Carolina"/>
    <n v="27405"/>
    <s v="South"/>
    <s v="OFF-AR-10003903"/>
    <s v="Office Supplies"/>
    <x v="14"/>
    <s v="Sanford 52201 APSCO Electric Pencil Sharpener"/>
    <n v="32.776000000000003"/>
    <n v="1"/>
    <n v="0.2"/>
    <n v="2.4581999999999997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PA-10004359"/>
    <s v="Office Supplies"/>
    <x v="9"/>
    <s v="Multicolor Computer Printout Paper"/>
    <n v="419.4"/>
    <n v="5"/>
    <n v="0.2"/>
    <n v="146.79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BI-10000279"/>
    <s v="Office Supplies"/>
    <x v="0"/>
    <s v="Acco Recycled 2&quot; Capacity Laser Printer Hanging Data Binders"/>
    <n v="13.005000000000003"/>
    <n v="3"/>
    <n v="0.7"/>
    <n v="-9.9704999999999977"/>
  </r>
  <r>
    <s v="CA-2017-162880"/>
    <d v="2021-03-25T00:00:00"/>
    <s v="Standard Class"/>
    <s v="GD-14590"/>
    <s v="Giulietta Dortch"/>
    <s v="Corporate"/>
    <s v="United States"/>
    <s v="Everett"/>
    <s v="Washington"/>
    <n v="98208"/>
    <s v="West"/>
    <s v="OFF-BI-10003314"/>
    <s v="Office Supplies"/>
    <x v="0"/>
    <s v="Tuff Stuff Recycled Round Ring Binders"/>
    <n v="3.8560000000000003"/>
    <n v="1"/>
    <n v="0.2"/>
    <n v="1.3978000000000002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OFF-BI-10003784"/>
    <s v="Office Supplies"/>
    <x v="0"/>
    <s v="Computer Printout Index Tabs"/>
    <n v="1.6799999999999995"/>
    <n v="5"/>
    <n v="0.8"/>
    <n v="-2.6880000000000015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68"/>
    <n v="3"/>
    <n v="0.6"/>
    <n v="-2.39039999999999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CH-10004698"/>
    <s v="Furniture"/>
    <x v="13"/>
    <s v="Padded Folding Chairs, Black, 4/Carton"/>
    <n v="113.372"/>
    <n v="2"/>
    <n v="0.3"/>
    <n v="-3.23919999999998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00000000000004"/>
    <n v="2"/>
    <n v="0.6"/>
    <n v="-1.4059999999999997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328"/>
    <s v="Office Supplies"/>
    <x v="2"/>
    <s v="Personal Filing Tote with Lid, Black/Gray"/>
    <n v="62.04"/>
    <n v="4"/>
    <n v="0"/>
    <n v="17.371200000000002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TEC-PH-10003601"/>
    <s v="Technology"/>
    <x v="4"/>
    <s v="Ativa D5772 2-Line 5.8GHz Digital Expandable Corded/Cordless Phone System with Answering &amp; Caller ID/Call Waiting, Black/Silver"/>
    <n v="494.97"/>
    <n v="3"/>
    <n v="0"/>
    <n v="148.4909999999999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522"/>
    <s v="Office Supplies"/>
    <x v="2"/>
    <s v="Gould Plastics 18-Pocket Panel Bin, 34w x 5-1/4d x 20-1/2h"/>
    <n v="367.96"/>
    <n v="4"/>
    <n v="0"/>
    <n v="14.718399999999974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PA-10001994"/>
    <s v="Office Supplies"/>
    <x v="9"/>
    <s v="Ink Jet Note and Greeting Cards, 8-1/2&quot; x 5-1/2&quot; Card Size"/>
    <n v="44.96"/>
    <n v="2"/>
    <n v="0"/>
    <n v="20.681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EN-10001453"/>
    <s v="Office Supplies"/>
    <x v="7"/>
    <s v="Tyvek Interoffice Envelopes, 9 1/2&quot; x 12 1/2&quot;, 100/Box"/>
    <n v="182.94"/>
    <n v="3"/>
    <n v="0"/>
    <n v="85.981799999999993"/>
  </r>
  <r>
    <s v="CA-2017-138618"/>
    <d v="2021-03-01T00:00:00"/>
    <s v="Standard Class"/>
    <s v="MY-17380"/>
    <s v="Maribeth Yedwab"/>
    <s v="Corporate"/>
    <s v="United States"/>
    <s v="San Antonio"/>
    <s v="Texas"/>
    <n v="78207"/>
    <s v="Central"/>
    <s v="OFF-PA-10000520"/>
    <s v="Office Supplies"/>
    <x v="9"/>
    <s v="Xerox 201"/>
    <n v="10.368000000000002"/>
    <n v="2"/>
    <n v="0.2"/>
    <n v="3.6288"/>
  </r>
  <r>
    <s v="US-2017-149006"/>
    <d v="2021-03-06T00:00:00"/>
    <s v="Second Class"/>
    <s v="BN-11470"/>
    <s v="Brad Norvell"/>
    <s v="Corporate"/>
    <s v="United States"/>
    <s v="Brentwood"/>
    <s v="California"/>
    <n v="94513"/>
    <s v="West"/>
    <s v="OFF-ST-10003221"/>
    <s v="Office Supplies"/>
    <x v="2"/>
    <s v="Staple magnet"/>
    <n v="10.68"/>
    <n v="1"/>
    <n v="0"/>
    <n v="2.8836000000000004"/>
  </r>
  <r>
    <s v="US-2017-135503"/>
    <d v="2021-03-10T00:00:00"/>
    <s v="Standard Class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03999999999984"/>
  </r>
  <r>
    <s v="CA-2017-165099"/>
    <d v="2021-03-11T00:00:00"/>
    <s v="First Class"/>
    <s v="DK-13375"/>
    <s v="Dennis Kane"/>
    <s v="Consumer"/>
    <s v="United States"/>
    <s v="Abilene"/>
    <s v="Texas"/>
    <n v="79605"/>
    <s v="Central"/>
    <s v="OFF-AP-10001634"/>
    <s v="Office Supplies"/>
    <x v="3"/>
    <s v="Hoover Commercial Lightweight Upright Vacuum"/>
    <n v="1.3919999999999997"/>
    <n v="2"/>
    <n v="0.8"/>
    <n v="-3.7584000000000009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BI-10004002"/>
    <s v="Office Supplies"/>
    <x v="0"/>
    <s v="Wilson Jones International Size A4 Ring Binders"/>
    <n v="13.839999999999998"/>
    <n v="4"/>
    <n v="0.8"/>
    <n v="-22.144000000000005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PA-10004475"/>
    <s v="Office Supplies"/>
    <x v="9"/>
    <s v="Xerox 1940"/>
    <n v="175.87200000000001"/>
    <n v="4"/>
    <n v="0.2"/>
    <n v="63.753599999999992"/>
  </r>
  <r>
    <s v="CA-2017-141201"/>
    <d v="2021-03-09T00:00:00"/>
    <s v="Second Class"/>
    <s v="DB-12910"/>
    <s v="Daniel Byrd"/>
    <s v="Home Office"/>
    <s v="United States"/>
    <s v="Salinas"/>
    <s v="California"/>
    <n v="93905"/>
    <s v="West"/>
    <s v="FUR-BO-10001519"/>
    <s v="Furniture"/>
    <x v="12"/>
    <s v="O'Sullivan 3-Shelf Heavy-Duty Bookcases"/>
    <n v="148.25700000000001"/>
    <n v="3"/>
    <n v="0.15"/>
    <n v="15.697800000000004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ST-10002276"/>
    <s v="Office Supplies"/>
    <x v="2"/>
    <s v="Safco Steel Mobile File Cart"/>
    <n v="166.72"/>
    <n v="2"/>
    <n v="0"/>
    <n v="41.680000000000007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BI-10001617"/>
    <s v="Office Supplies"/>
    <x v="0"/>
    <s v="GBC Wire Binding Combs"/>
    <n v="24.816000000000003"/>
    <n v="3"/>
    <n v="0.2"/>
    <n v="8.3753999999999991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59200000000001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OFF-PA-10001593"/>
    <s v="Office Supplies"/>
    <x v="9"/>
    <s v="Xerox 1947"/>
    <n v="41.86"/>
    <n v="7"/>
    <n v="0"/>
    <n v="18.837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FUR-BO-10002598"/>
    <s v="Furniture"/>
    <x v="12"/>
    <s v="Hon Metal Bookcases, Putty"/>
    <n v="141.96"/>
    <n v="2"/>
    <n v="0"/>
    <n v="41.168399999999991"/>
  </r>
  <r>
    <s v="CA-2017-100412"/>
    <d v="2021-03-22T00:00:00"/>
    <s v="Standard Class"/>
    <s v="SR-20425"/>
    <s v="Sharelle Roach"/>
    <s v="Home Office"/>
    <s v="United States"/>
    <s v="Tuscaloosa"/>
    <s v="Alabama"/>
    <n v="35401"/>
    <s v="South"/>
    <s v="FUR-CH-10002647"/>
    <s v="Furniture"/>
    <x v="13"/>
    <s v="Situations Contoured Folding Chairs, 4/Set"/>
    <n v="141.96"/>
    <n v="2"/>
    <n v="0"/>
    <n v="35.490000000000009"/>
  </r>
  <r>
    <s v="CA-2017-142909"/>
    <d v="2021-03-22T00:00:00"/>
    <s v="Second Class"/>
    <s v="AG-10330"/>
    <s v="Alex Grayson"/>
    <s v="Consumer"/>
    <s v="United States"/>
    <s v="Mesa"/>
    <s v="Arizona"/>
    <n v="85204"/>
    <s v="West"/>
    <s v="FUR-TA-10003008"/>
    <s v="Furniture"/>
    <x v="10"/>
    <s v="Lesro Round Back Collection Coffee Table, End Table"/>
    <n v="182.55"/>
    <n v="2"/>
    <n v="0.5"/>
    <n v="-135.08699999999999"/>
  </r>
  <r>
    <s v="CA-2017-109183"/>
    <d v="2021-03-04T00:00:00"/>
    <s v="Standard Class"/>
    <s v="LR-16915"/>
    <s v="Lena Radford"/>
    <s v="Consumer"/>
    <s v="United States"/>
    <s v="Nashville"/>
    <s v="Tennessee"/>
    <n v="37211"/>
    <s v="South"/>
    <s v="TEC-MA-10001856"/>
    <s v="Technology"/>
    <x v="16"/>
    <s v="Okidata C610n Printer"/>
    <n v="649"/>
    <n v="2"/>
    <n v="0.5"/>
    <n v="-272.58000000000015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09600000000001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OFF-LA-10003766"/>
    <s v="Office Supplies"/>
    <x v="11"/>
    <s v="Self-Adhesive Removable Labels"/>
    <n v="9.4499999999999993"/>
    <n v="3"/>
    <n v="0"/>
    <n v="4.5359999999999996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TA-10004289"/>
    <s v="Furniture"/>
    <x v="10"/>
    <s v="BoxOffice By Design Rectangular and Half-Moon Meeting Room Tables"/>
    <n v="721.87500000000011"/>
    <n v="6"/>
    <n v="0.45"/>
    <n v="-420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TEC-PH-10003555"/>
    <s v="Technology"/>
    <x v="4"/>
    <s v="Motorola HK250 Universal Bluetooth Headset"/>
    <n v="73.567999999999998"/>
    <n v="4"/>
    <n v="0.2"/>
    <n v="-16.552799999999994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OFF-AR-10001958"/>
    <s v="Office Supplies"/>
    <x v="14"/>
    <s v="Stanley Bostitch Contemporary Electric Pencil Sharpeners"/>
    <n v="13.584000000000001"/>
    <n v="1"/>
    <n v="0.2"/>
    <n v="1.3584000000000001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CH-10000225"/>
    <s v="Furniture"/>
    <x v="13"/>
    <s v="Global Geo Office Task Chair, Gray"/>
    <n v="64.784000000000006"/>
    <n v="1"/>
    <n v="0.2"/>
    <n v="-12.147000000000009"/>
  </r>
  <r>
    <s v="CA-2017-160031"/>
    <d v="2021-03-04T00:00:00"/>
    <s v="Second Class"/>
    <s v="LT-16765"/>
    <s v="Larry Tron"/>
    <s v="Consumer"/>
    <s v="United States"/>
    <s v="Fairfield"/>
    <s v="Ohio"/>
    <n v="45014"/>
    <s v="East"/>
    <s v="OFF-PA-10000241"/>
    <s v="Office Supplies"/>
    <x v="9"/>
    <s v="IBM Multi-Purpose Copy Paper, 8 1/2 x 11&quot;, Case"/>
    <n v="74.352000000000004"/>
    <n v="3"/>
    <n v="0.2"/>
    <n v="23.234999999999992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AR-10004707"/>
    <s v="Office Supplies"/>
    <x v="14"/>
    <s v="Staples in misc. colors"/>
    <n v="2.48"/>
    <n v="1"/>
    <n v="0"/>
    <n v="0.86799999999999988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BI-10004040"/>
    <s v="Office Supplies"/>
    <x v="0"/>
    <s v="Wilson Jones Impact Binders"/>
    <n v="25.9"/>
    <n v="5"/>
    <n v="0"/>
    <n v="12.6909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4236"/>
    <s v="Office Supplies"/>
    <x v="0"/>
    <s v="XtraLife ClearVue Slant-D Ring Binder, White, 3&quot;"/>
    <n v="29.36"/>
    <n v="2"/>
    <n v="0"/>
    <n v="13.5055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AP-10000159"/>
    <s v="Office Supplies"/>
    <x v="3"/>
    <s v="Belkin F9M820V08 8 Outlet Surge"/>
    <n v="214.89999999999998"/>
    <n v="5"/>
    <n v="0"/>
    <n v="62.32099999999997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3274"/>
    <s v="Office Supplies"/>
    <x v="0"/>
    <s v="Avery Durable Slant Ring Binders, No Labels"/>
    <n v="15.92"/>
    <n v="4"/>
    <n v="0"/>
    <n v="7.4824000000000002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28499999999991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ST-10004963"/>
    <s v="Office Supplies"/>
    <x v="2"/>
    <s v="Eldon Gobal File Keepers"/>
    <n v="15.14"/>
    <n v="1"/>
    <n v="0"/>
    <n v="0.60559999999999903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LA-10004409"/>
    <s v="Office Supplies"/>
    <x v="11"/>
    <s v="Avery 492"/>
    <n v="5.76"/>
    <n v="2"/>
    <n v="0"/>
    <n v="2.6495999999999995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CO-10001046"/>
    <s v="Technology"/>
    <x v="8"/>
    <s v="Canon Imageclass D680 Copier / Fax"/>
    <n v="1399.98"/>
    <n v="2"/>
    <n v="0"/>
    <n v="629.99099999999999"/>
  </r>
  <r>
    <s v="CA-2017-103415"/>
    <d v="2021-03-03T00:00:00"/>
    <s v="Standard Class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1999999999999"/>
    <n v="2"/>
    <n v="0.6"/>
    <n v="-14.27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ST-10003306"/>
    <s v="Office Supplies"/>
    <x v="2"/>
    <s v="Letter Size Cart"/>
    <n v="114.28800000000001"/>
    <n v="1"/>
    <n v="0.2"/>
    <n v="12.85739999999998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BI-10003707"/>
    <s v="Office Supplies"/>
    <x v="0"/>
    <s v="Aluminum Screw Posts"/>
    <n v="36.624000000000002"/>
    <n v="8"/>
    <n v="0.7"/>
    <n v="-24.4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BO-10003546"/>
    <s v="Furniture"/>
    <x v="12"/>
    <s v="Hon 4-Shelf Metal Bookcases"/>
    <n v="242.35200000000003"/>
    <n v="8"/>
    <n v="0.7"/>
    <n v="-363.52799999999991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0213"/>
    <s v="Technology"/>
    <x v="4"/>
    <s v="Seidio BD2-HK3IPH5-BK DILEX Case and Holster Combo for Apple iPhone 5/5s - Black"/>
    <n v="49.616000000000007"/>
    <n v="2"/>
    <n v="0.2"/>
    <n v="4.961599999999998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0400000000006"/>
    <n v="6"/>
    <n v="0.2"/>
    <n v="0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4833"/>
    <s v="Technology"/>
    <x v="4"/>
    <s v="Macally Suction Cup Mount"/>
    <n v="57.36"/>
    <n v="6"/>
    <n v="0.2"/>
    <n v="-14.3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CH-10002335"/>
    <s v="Furniture"/>
    <x v="13"/>
    <s v="Hon GuestStacker Chair"/>
    <n v="906.68000000000006"/>
    <n v="5"/>
    <n v="0.2"/>
    <n v="68.001000000000033"/>
  </r>
  <r>
    <s v="CA-2017-121195"/>
    <d v="2021-03-24T00:00:00"/>
    <s v="First Class"/>
    <s v="NS-18505"/>
    <s v="Neola Schneider"/>
    <s v="Consumer"/>
    <s v="United States"/>
    <s v="Dallas"/>
    <s v="Texas"/>
    <n v="75220"/>
    <s v="Central"/>
    <s v="OFF-ST-10000585"/>
    <s v="Office Supplies"/>
    <x v="2"/>
    <s v="Economy Rollaway Files"/>
    <n v="264.32"/>
    <n v="2"/>
    <n v="0.2"/>
    <n v="19.8239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2602"/>
    <s v="Furniture"/>
    <x v="13"/>
    <s v="DMI Arturo Collection Mission-style Design Wood Chair"/>
    <n v="1207.8399999999999"/>
    <n v="8"/>
    <n v="0"/>
    <n v="314.03840000000002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BI-10002414"/>
    <s v="Office Supplies"/>
    <x v="0"/>
    <s v="GBC ProClick Spines for 32-Hole Punch"/>
    <n v="12.53"/>
    <n v="1"/>
    <n v="0"/>
    <n v="5.8890999999999991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AR-10003696"/>
    <s v="Office Supplies"/>
    <x v="14"/>
    <s v="Panasonic KP-350BK Electric Pencil Sharpener with Auto Stop"/>
    <n v="34.58"/>
    <n v="1"/>
    <n v="0"/>
    <n v="10.0281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4495"/>
    <s v="Furniture"/>
    <x v="13"/>
    <s v="Global Leather and Oak Executive Chair, Black"/>
    <n v="300.98"/>
    <n v="1"/>
    <n v="0"/>
    <n v="87.28419999999997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1270"/>
    <s v="Furniture"/>
    <x v="13"/>
    <s v="Harbour Creations Steel Folding Chair"/>
    <n v="258.75"/>
    <n v="3"/>
    <n v="0"/>
    <n v="77.624999999999972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TEC-CO-10002313"/>
    <s v="Technology"/>
    <x v="8"/>
    <s v="Canon PC1080F Personal Copier"/>
    <n v="1199.98"/>
    <n v="2"/>
    <n v="0"/>
    <n v="467.99220000000003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T-10002790"/>
    <s v="Office Supplies"/>
    <x v="2"/>
    <s v="Safco Industrial Shelving"/>
    <n v="73.849999999999994"/>
    <n v="1"/>
    <n v="0"/>
    <n v="2.2155000000000058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46000000000005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FA-10001332"/>
    <s v="Office Supplies"/>
    <x v="5"/>
    <s v="Acco Banker's Clasps, 5 3/4&quot;-Long"/>
    <n v="17.28"/>
    <n v="6"/>
    <n v="0"/>
    <n v="8.121599999999999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FUR-TA-10003473"/>
    <s v="Furniture"/>
    <x v="10"/>
    <s v="Bretford Rectangular Conference Table Tops"/>
    <n v="526.58199999999999"/>
    <n v="2"/>
    <n v="0.3"/>
    <n v="-52.658199999999965"/>
  </r>
  <r>
    <s v="CA-2017-108287"/>
    <d v="2021-03-18T00:00:00"/>
    <s v="First Class"/>
    <s v="AG-10330"/>
    <s v="Alex Grayson"/>
    <s v="Consumer"/>
    <s v="United States"/>
    <s v="Charlotte"/>
    <s v="North Carolina"/>
    <n v="28205"/>
    <s v="South"/>
    <s v="OFF-AR-10001315"/>
    <s v="Office Supplies"/>
    <x v="14"/>
    <s v="Newell 310"/>
    <n v="12.672000000000001"/>
    <n v="9"/>
    <n v="0.2"/>
    <n v="1.4255999999999993"/>
  </r>
  <r>
    <s v="CA-2017-123071"/>
    <d v="2021-03-03T00:00:00"/>
    <s v="First Class"/>
    <s v="CC-12550"/>
    <s v="Clay Cheatham"/>
    <s v="Consumer"/>
    <s v="United States"/>
    <s v="Plano"/>
    <s v="Texas"/>
    <n v="75023"/>
    <s v="Central"/>
    <s v="OFF-PA-10003729"/>
    <s v="Office Supplies"/>
    <x v="9"/>
    <s v="Xerox 1998"/>
    <n v="10.368000000000002"/>
    <n v="2"/>
    <n v="0.2"/>
    <n v="3.6288"/>
  </r>
  <r>
    <s v="CA-2017-152436"/>
    <d v="2021-03-08T00:00:00"/>
    <s v="Second Class"/>
    <s v="CW-11905"/>
    <s v="Carl Weiss"/>
    <s v="Home Office"/>
    <s v="United States"/>
    <s v="Cranston"/>
    <s v="Rhode Island"/>
    <n v="2920"/>
    <s v="East"/>
    <s v="OFF-ST-10000036"/>
    <s v="Office Supplies"/>
    <x v="2"/>
    <s v="Recycled Data-Pak for Archival Bound Computer Printouts, 12-1/2 x 12-1/2 x 16"/>
    <n v="592.74"/>
    <n v="6"/>
    <n v="0"/>
    <n v="160.03979999999999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OFF-AP-10004540"/>
    <s v="Office Supplies"/>
    <x v="3"/>
    <s v="Eureka The Boss Lite 10-Amp Upright Vacuum, Blue"/>
    <n v="320.64"/>
    <n v="4"/>
    <n v="0"/>
    <n v="89.779200000000003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AR-10003856"/>
    <s v="Office Supplies"/>
    <x v="14"/>
    <s v="Newell 344"/>
    <n v="13.343999999999998"/>
    <n v="6"/>
    <n v="0.2"/>
    <n v="1.000799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200000000001"/>
    <n v="6"/>
    <n v="0.2"/>
    <n v="10.55339999999999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3600000000001"/>
    <n v="8"/>
    <n v="0.2"/>
    <n v="14.0711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PA-10002246"/>
    <s v="Office Supplies"/>
    <x v="9"/>
    <s v="Wirebound Four 2-3/4 x 5 Forms per Page, 400 Sets per Book"/>
    <n v="10.32"/>
    <n v="2"/>
    <n v="0.2"/>
    <n v="3.7409999999999997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49999999999938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76000000000001"/>
    <n v="3"/>
    <n v="0.2"/>
    <n v="7.012800000000001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3999999999999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2"/>
    <n v="1"/>
    <n v="0.2"/>
    <n v="4.6552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3684"/>
    <s v="Office Supplies"/>
    <x v="0"/>
    <s v="Wilson Jones Legal Size Ring Binders"/>
    <n v="39.581999999999987"/>
    <n v="9"/>
    <n v="0.8"/>
    <n v="-59.372999999999976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88000000000002"/>
    <n v="7"/>
    <n v="0.2"/>
    <n v="5.0273999999999965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AR-10001615"/>
    <s v="Office Supplies"/>
    <x v="14"/>
    <s v="Newell 34"/>
    <n v="31.744"/>
    <n v="2"/>
    <n v="0.2"/>
    <n v="2.3808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597"/>
    <s v="Office Supplies"/>
    <x v="0"/>
    <s v="Wilson Jones Ledger-Size, Piano-Hinge Binder, 2&quot;, Blue"/>
    <n v="40.97999999999999"/>
    <n v="5"/>
    <n v="0.8"/>
    <n v="-65.567999999999998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116"/>
    <s v="Office Supplies"/>
    <x v="0"/>
    <s v="Wilson Jones 1&quot; Hanging DublLock Ring Binders"/>
    <n v="3.1679999999999993"/>
    <n v="3"/>
    <n v="0.8"/>
    <n v="-5.0687999999999995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ST-10003058"/>
    <s v="Office Supplies"/>
    <x v="2"/>
    <s v="Eldon Mobile Mega Data Cart  Mega Stackable  Add-On Trays"/>
    <n v="118.25"/>
    <n v="5"/>
    <n v="0"/>
    <n v="34.292499999999997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PA-10004239"/>
    <s v="Office Supplies"/>
    <x v="9"/>
    <s v="Xerox 1953"/>
    <n v="4.28"/>
    <n v="1"/>
    <n v="0"/>
    <n v="1.9259999999999997"/>
  </r>
  <r>
    <s v="US-2017-167570"/>
    <d v="2021-03-08T00:00:00"/>
    <s v="Standard Class"/>
    <s v="EG-13900"/>
    <s v="Emily Grady"/>
    <s v="Consumer"/>
    <s v="United States"/>
    <s v="Philadelphia"/>
    <s v="Pennsylvania"/>
    <n v="19140"/>
    <s v="East"/>
    <s v="FUR-CH-10003396"/>
    <s v="Furniture"/>
    <x v="13"/>
    <s v="Global Deluxe Steno Chair"/>
    <n v="215.54400000000001"/>
    <n v="4"/>
    <n v="0.3"/>
    <n v="-58.504800000000017"/>
  </r>
  <r>
    <s v="CA-2017-136238"/>
    <d v="2021-03-26T00:00:00"/>
    <s v="Standard Class"/>
    <s v="KB-16240"/>
    <s v="Karen Bern"/>
    <s v="Corporate"/>
    <s v="United States"/>
    <s v="Odessa"/>
    <s v="Texas"/>
    <n v="79762"/>
    <s v="Central"/>
    <s v="OFF-PA-10004285"/>
    <s v="Office Supplies"/>
    <x v="9"/>
    <s v="Xerox 1959"/>
    <n v="16.032"/>
    <n v="3"/>
    <n v="0.2"/>
    <n v="5.6111999999999993"/>
  </r>
  <r>
    <s v="CA-2017-149699"/>
    <d v="2021-03-22T00:00:00"/>
    <s v="First Class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8499999999993"/>
  </r>
  <r>
    <s v="CA-2017-153227"/>
    <d v="2021-03-04T00:00:00"/>
    <s v="First Class"/>
    <s v="CS-12250"/>
    <s v="Chris Selesnick"/>
    <s v="Corporate"/>
    <s v="United States"/>
    <s v="Los Angeles"/>
    <s v="California"/>
    <n v="90032"/>
    <s v="West"/>
    <s v="OFF-PA-10001838"/>
    <s v="Office Supplies"/>
    <x v="9"/>
    <s v="Adams Telephone Message Book W/Dividers/Space For Phone Numbers, 5 1/4&quot;X8 1/2&quot;, 300/Messages"/>
    <n v="11.76"/>
    <n v="2"/>
    <n v="0"/>
    <n v="5.7623999999999995"/>
  </r>
  <r>
    <s v="CA-2017-110625"/>
    <d v="2021-03-23T00:00:00"/>
    <s v="Standard Class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856000000000002"/>
  </r>
  <r>
    <s v="CA-2017-158736"/>
    <d v="2021-03-18T00:00:00"/>
    <s v="Standard Class"/>
    <s v="TT-21460"/>
    <s v="Tonja Turnell"/>
    <s v="Home Office"/>
    <s v="United States"/>
    <s v="San Francisco"/>
    <s v="California"/>
    <n v="94110"/>
    <s v="West"/>
    <s v="OFF-AR-10002578"/>
    <s v="Office Supplies"/>
    <x v="14"/>
    <s v="Newell 335"/>
    <n v="5.76"/>
    <n v="2"/>
    <n v="0"/>
    <n v="1.6703999999999999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58799999999999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3817"/>
    <s v="Furniture"/>
    <x v="13"/>
    <s v="Global Value Steno Chair, Gray"/>
    <n v="182.22"/>
    <n v="3"/>
    <n v="0"/>
    <n v="45.55500000000000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4860"/>
    <s v="Furniture"/>
    <x v="13"/>
    <s v="Global Low Back Tilter Chair"/>
    <n v="302.94"/>
    <n v="3"/>
    <n v="0"/>
    <n v="18.176399999999973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FUR-TA-10004915"/>
    <s v="Furniture"/>
    <x v="10"/>
    <s v="Office Impressions End Table, 20-1/2&quot;H x 24&quot;W x 20&quot;D"/>
    <n v="607.52"/>
    <n v="2"/>
    <n v="0"/>
    <n v="97.203200000000038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OFF-ST-10001228"/>
    <s v="Office Supplies"/>
    <x v="2"/>
    <s v="Personal File Boxes with Fold-Down Carry Handle"/>
    <n v="31.16"/>
    <n v="2"/>
    <n v="0"/>
    <n v="7.7899999999999991"/>
  </r>
  <r>
    <s v="US-2017-132927"/>
    <d v="2021-03-09T00:00:00"/>
    <s v="Standard Class"/>
    <s v="RD-19720"/>
    <s v="Roger Demir"/>
    <s v="Consumer"/>
    <s v="United States"/>
    <s v="Philadelphia"/>
    <s v="Pennsylvania"/>
    <n v="19134"/>
    <s v="East"/>
    <s v="OFF-BI-10001116"/>
    <s v="Office Supplies"/>
    <x v="0"/>
    <s v="Wilson Jones 1&quot; Hanging DublLock Ring Binders"/>
    <n v="11.088000000000003"/>
    <n v="7"/>
    <n v="0.7"/>
    <n v="-8.1311999999999998"/>
  </r>
  <r>
    <s v="CA-2017-147767"/>
    <d v="2021-03-02T00:00:00"/>
    <s v="Same Day"/>
    <s v="SV-20935"/>
    <s v="Susan Vittorini"/>
    <s v="Consumer"/>
    <s v="United States"/>
    <s v="Peoria"/>
    <s v="Arizona"/>
    <n v="85345"/>
    <s v="West"/>
    <s v="OFF-BI-10001670"/>
    <s v="Office Supplies"/>
    <x v="0"/>
    <s v="Vinyl Sectional Post Binders"/>
    <n v="67.860000000000014"/>
    <n v="6"/>
    <n v="0.7"/>
    <n v="-45.239999999999995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OFF-AR-10004441"/>
    <s v="Office Supplies"/>
    <x v="14"/>
    <s v="BIC Brite Liner Highlighters"/>
    <n v="13.247999999999999"/>
    <n v="4"/>
    <n v="0.2"/>
    <n v="3.6431999999999998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TEC-PH-10001924"/>
    <s v="Technology"/>
    <x v="4"/>
    <s v="iHome FM Clock Radio with Lightning Dock"/>
    <n v="83.987999999999985"/>
    <n v="2"/>
    <n v="0.4"/>
    <n v="-20.996999999999993"/>
  </r>
  <r>
    <s v="CA-2017-135377"/>
    <d v="2021-03-13T00:00:00"/>
    <s v="Standard Class"/>
    <s v="BP-11095"/>
    <s v="Bart Pistole"/>
    <s v="Corporate"/>
    <s v="United States"/>
    <s v="New York City"/>
    <s v="New York"/>
    <n v="10024"/>
    <s v="East"/>
    <s v="FUR-BO-10004015"/>
    <s v="Furniture"/>
    <x v="12"/>
    <s v="Bush Andora Bookcase, Maple/Graphite Gray Finish"/>
    <n v="287.976"/>
    <n v="3"/>
    <n v="0.2"/>
    <n v="7.1993999999999687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BI-10004209"/>
    <s v="Office Supplies"/>
    <x v="0"/>
    <s v="Fellowes Twister Kit, Gray/Clear, 3/pkg"/>
    <n v="7.2359999999999998"/>
    <n v="3"/>
    <n v="0.7"/>
    <n v="-6.0299999999999976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FA-10002988"/>
    <s v="Office Supplies"/>
    <x v="5"/>
    <s v="Ideal Clamps"/>
    <n v="4.8239999999999998"/>
    <n v="3"/>
    <n v="0.2"/>
    <n v="1.7486999999999999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PA-10002222"/>
    <s v="Office Supplies"/>
    <x v="9"/>
    <s v="Xerox Color Copier Paper, 11&quot; x 17&quot;, Ream"/>
    <n v="91.360000000000014"/>
    <n v="5"/>
    <n v="0.2"/>
    <n v="29.691999999999993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AP-10004487"/>
    <s v="Office Supplies"/>
    <x v="3"/>
    <s v="Kensington 4 Outlet MasterPiece Compact Power Control Center"/>
    <n v="130.11199999999999"/>
    <n v="2"/>
    <n v="0.2"/>
    <n v="13.011199999999995"/>
  </r>
  <r>
    <s v="CA-2017-163671"/>
    <d v="2021-03-24T00:00:00"/>
    <s v="Standard Class"/>
    <s v="DP-13105"/>
    <s v="Dave Poirier"/>
    <s v="Corporate"/>
    <s v="United States"/>
    <s v="Meridian"/>
    <s v="Idaho"/>
    <n v="83642"/>
    <s v="West"/>
    <s v="OFF-BI-10001679"/>
    <s v="Office Supplies"/>
    <x v="0"/>
    <s v="GBC Instant Index System for Binding Systems"/>
    <n v="21.312000000000005"/>
    <n v="3"/>
    <n v="0.2"/>
    <n v="7.9919999999999991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BI-10002003"/>
    <s v="Office Supplies"/>
    <x v="0"/>
    <s v="Ibico Presentation Index for Binding Systems"/>
    <n v="15.920000000000002"/>
    <n v="5"/>
    <n v="0.2"/>
    <n v="5.372999999999999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79999999999993"/>
    <n v="12"/>
    <n v="0"/>
    <n v="31.09920000000000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ST-10002756"/>
    <s v="Office Supplies"/>
    <x v="2"/>
    <s v="Tennsco Stur-D-Stor Boltless Shelving, 5 Shelves, 24&quot; Deep, Sand"/>
    <n v="541.24"/>
    <n v="4"/>
    <n v="0"/>
    <n v="5.4124000000000478"/>
  </r>
  <r>
    <s v="CA-2017-103968"/>
    <d v="2021-03-01T00:00:00"/>
    <s v="Standard Class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3879999999994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49999999999989"/>
    <n v="5"/>
    <n v="0"/>
    <n v="22.988499999999998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39999999999996"/>
    <n v="3"/>
    <n v="0"/>
    <n v="10.855799999999999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PA-10001972"/>
    <s v="Office Supplies"/>
    <x v="9"/>
    <s v="Xerox 214"/>
    <n v="19.440000000000001"/>
    <n v="3"/>
    <n v="0"/>
    <n v="9.3312000000000008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BI-10000201"/>
    <s v="Office Supplies"/>
    <x v="0"/>
    <s v="Avery Triangle Shaped Sheet Lifters, Black, 2/Pack"/>
    <n v="12.3"/>
    <n v="5"/>
    <n v="0"/>
    <n v="6.15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FUR-TA-10002903"/>
    <s v="Furniture"/>
    <x v="10"/>
    <s v="Bevis Round Bullnose 29&quot; High Table Top"/>
    <n v="934.9559999999999"/>
    <n v="6"/>
    <n v="0.4"/>
    <n v="-249.32159999999999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4000000000004"/>
    <n v="2"/>
    <n v="0.2"/>
    <n v="7.615399999999994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ST-10000918"/>
    <s v="Office Supplies"/>
    <x v="2"/>
    <s v="Crate-A-Files"/>
    <n v="26.160000000000004"/>
    <n v="3"/>
    <n v="0.2"/>
    <n v="1.961999999999998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R-10001419"/>
    <s v="Office Supplies"/>
    <x v="14"/>
    <s v="Newell 325"/>
    <n v="23.128"/>
    <n v="7"/>
    <n v="0.2"/>
    <n v="2.8909999999999982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P-10003266"/>
    <s v="Office Supplies"/>
    <x v="3"/>
    <s v="Holmes Replacement Filter for HEPA Air Cleaner, Large Room"/>
    <n v="59.24"/>
    <n v="5"/>
    <n v="0.2"/>
    <n v="16.290999999999997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750000000000021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TEC-MA-10004626"/>
    <s v="Technology"/>
    <x v="16"/>
    <s v="Lexmark 20R1285 X6650 Wireless All-in-One Printer"/>
    <n v="120"/>
    <n v="2"/>
    <n v="0.5"/>
    <n v="-7.2000000000000028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OFF-AR-10001662"/>
    <s v="Office Supplies"/>
    <x v="14"/>
    <s v="Rogers Handheld Barrel Pencil Sharpener"/>
    <n v="19.728000000000002"/>
    <n v="9"/>
    <n v="0.2"/>
    <n v="1.7262000000000022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TEC-PH-10004531"/>
    <s v="Technology"/>
    <x v="4"/>
    <s v="AT&amp;T CL2909"/>
    <n v="151.18799999999999"/>
    <n v="2"/>
    <n v="0.4"/>
    <n v="-25.19800000000000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BI-10003196"/>
    <s v="Office Supplies"/>
    <x v="0"/>
    <s v="Accohide Poly Flexible Ring Binders"/>
    <n v="5.9840000000000009"/>
    <n v="2"/>
    <n v="0.2"/>
    <n v="2.243999999999999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000000000002"/>
    <n v="5"/>
    <n v="0"/>
    <n v="45.587999999999994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89499999999992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AR-10001988"/>
    <s v="Office Supplies"/>
    <x v="14"/>
    <s v="Bulldog Table or Wall-Mount Pencil Sharpener"/>
    <n v="29.950000000000003"/>
    <n v="5"/>
    <n v="0"/>
    <n v="8.6854999999999993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LA-10003498"/>
    <s v="Office Supplies"/>
    <x v="11"/>
    <s v="Avery 475"/>
    <n v="44.400000000000006"/>
    <n v="3"/>
    <n v="0"/>
    <n v="22.200000000000003"/>
  </r>
  <r>
    <s v="CA-2017-147550"/>
    <d v="2021-03-04T00:00:00"/>
    <s v="First Class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2000000000002"/>
    <n v="3"/>
    <n v="0.2"/>
    <n v="2.6961000000000008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EN-10003160"/>
    <s v="Office Supplies"/>
    <x v="7"/>
    <s v="Pastel Pink Envelopes"/>
    <n v="7.28"/>
    <n v="1"/>
    <n v="0"/>
    <n v="3.4944000000000002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BI-10002012"/>
    <s v="Office Supplies"/>
    <x v="0"/>
    <s v="Wilson Jones Easy Flow II Sheet Lifters"/>
    <n v="5.4"/>
    <n v="3"/>
    <n v="0"/>
    <n v="2.5920000000000001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LA-10004853"/>
    <s v="Office Supplies"/>
    <x v="11"/>
    <s v="Avery 483"/>
    <n v="15.936000000000002"/>
    <n v="4"/>
    <n v="0.2"/>
    <n v="5.1791999999999998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BI-10001759"/>
    <s v="Office Supplies"/>
    <x v="0"/>
    <s v="Acco Pressboard Covers with Storage Hooks, 14 7/8&quot; x 11&quot;, Dark Blue"/>
    <n v="8.0010000000000012"/>
    <n v="7"/>
    <n v="0.7"/>
    <n v="-5.6006999999999962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FUR-CH-10003379"/>
    <s v="Furniture"/>
    <x v="13"/>
    <s v="Global Commerce Series High-Back Swivel/Tilt Chairs"/>
    <n v="398.97199999999998"/>
    <n v="2"/>
    <n v="0.3"/>
    <n v="-28.49799999999999"/>
  </r>
  <r>
    <s v="CA-2017-108756"/>
    <d v="2021-03-25T00:00:00"/>
    <s v="Standard Class"/>
    <s v="PO-18865"/>
    <s v="Patrick O'Donnell"/>
    <s v="Consumer"/>
    <s v="United States"/>
    <s v="East Orange"/>
    <s v="New Jersey"/>
    <n v="7017"/>
    <s v="East"/>
    <s v="TEC-AC-10003237"/>
    <s v="Technology"/>
    <x v="6"/>
    <s v="Memorex Micro Travel Drive 4 GB"/>
    <n v="31.799999999999997"/>
    <n v="3"/>
    <n v="0"/>
    <n v="13.674000000000003"/>
  </r>
  <r>
    <s v="CA-2017-155362"/>
    <d v="2021-03-17T00:00:00"/>
    <s v="Standard Class"/>
    <s v="DP-13105"/>
    <s v="Dave Poirier"/>
    <s v="Corporate"/>
    <s v="United States"/>
    <s v="Eau Claire"/>
    <s v="Wisconsin"/>
    <n v="54703"/>
    <s v="Central"/>
    <s v="OFF-ST-10001031"/>
    <s v="Office Supplies"/>
    <x v="2"/>
    <s v="Adjustable Personal File Tote"/>
    <n v="32.56"/>
    <n v="2"/>
    <n v="0"/>
    <n v="8.465600000000002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OFF-BI-10000014"/>
    <s v="Office Supplies"/>
    <x v="0"/>
    <s v="Heavy-Duty E-Z-D Binders"/>
    <n v="3.2730000000000006"/>
    <n v="1"/>
    <n v="0.7"/>
    <n v="-2.5092999999999996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85999999999999"/>
  </r>
  <r>
    <s v="US-2017-125213"/>
    <d v="2021-03-11T00:00:00"/>
    <s v="First Class"/>
    <s v="NB-18655"/>
    <s v="Nona Balk"/>
    <s v="Corporate"/>
    <s v="United States"/>
    <s v="Paterson"/>
    <s v="New Jersey"/>
    <n v="7501"/>
    <s v="East"/>
    <s v="OFF-FA-10001561"/>
    <s v="Office Supplies"/>
    <x v="5"/>
    <s v="Stockwell Push Pins"/>
    <n v="6.5400000000000009"/>
    <n v="3"/>
    <n v="0"/>
    <n v="2.1581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24"/>
    <s v="Office Supplies"/>
    <x v="0"/>
    <s v="GBC Premium Transparent Covers with Diagonal Lined Pattern"/>
    <n v="83.920000000000016"/>
    <n v="5"/>
    <n v="0.2"/>
    <n v="29.371999999999993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89999999999998"/>
    <n v="5"/>
    <n v="0"/>
    <n v="39.97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TEC-PH-10000148"/>
    <s v="Technology"/>
    <x v="4"/>
    <s v="Cyber Acoustics AC-202b Speech Recognition Stereo Headset"/>
    <n v="31.176000000000002"/>
    <n v="3"/>
    <n v="0.2"/>
    <n v="-7.0145999999999997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43"/>
    <s v="Office Supplies"/>
    <x v="0"/>
    <s v="GBC VeloBinder Manual Binding System"/>
    <n v="172.75200000000001"/>
    <n v="6"/>
    <n v="0.2"/>
    <n v="60.463200000000015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2071"/>
    <s v="Office Supplies"/>
    <x v="0"/>
    <s v="Fellowes Black Plastic Comb Bindings"/>
    <n v="9.2959999999999994"/>
    <n v="2"/>
    <n v="0.2"/>
    <n v="3.0211999999999994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PA-10000007"/>
    <s v="Office Supplies"/>
    <x v="9"/>
    <s v="Telephone Message Books with Fax/Mobile Section, 4 1/4&quot; x 6&quot;"/>
    <n v="21.6"/>
    <n v="6"/>
    <n v="0"/>
    <n v="9.9359999999999999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LA-10000248"/>
    <s v="Office Supplies"/>
    <x v="11"/>
    <s v="Avery 52"/>
    <n v="11.07"/>
    <n v="3"/>
    <n v="0"/>
    <n v="5.202899999999999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LA-10004559"/>
    <s v="Office Supplies"/>
    <x v="11"/>
    <s v="Avery 49"/>
    <n v="8.64"/>
    <n v="3"/>
    <n v="0"/>
    <n v="4.233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3172"/>
    <s v="Office Supplies"/>
    <x v="9"/>
    <s v="Xerox 1996"/>
    <n v="38.880000000000003"/>
    <n v="6"/>
    <n v="0"/>
    <n v="18.662400000000002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0799999999999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0232"/>
    <s v="Office Supplies"/>
    <x v="9"/>
    <s v="Xerox 1975"/>
    <n v="12.96"/>
    <n v="2"/>
    <n v="0"/>
    <n v="6.3504000000000005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PA-10004569"/>
    <s v="Office Supplies"/>
    <x v="9"/>
    <s v="Wirebound Message Books, Two 4 1/4&quot; x 5&quot; Forms per Page"/>
    <n v="22.830000000000002"/>
    <n v="3"/>
    <n v="0"/>
    <n v="10.7301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AP-10000027"/>
    <s v="Office Supplies"/>
    <x v="3"/>
    <s v="Hoover Commercial SteamVac"/>
    <n v="54.32"/>
    <n v="4"/>
    <n v="0"/>
    <n v="16.295999999999999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TEC-PH-10000675"/>
    <s v="Technology"/>
    <x v="4"/>
    <s v="Panasonic KX TS3282B Corded phone"/>
    <n v="196.77600000000001"/>
    <n v="3"/>
    <n v="0.2"/>
    <n v="14.758199999999995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AP-10001293"/>
    <s v="Office Supplies"/>
    <x v="3"/>
    <s v="Belkin 8 Outlet Surge Protector"/>
    <n v="286.85999999999996"/>
    <n v="7"/>
    <n v="0"/>
    <n v="80.320799999999991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TEC-PH-10004977"/>
    <s v="Technology"/>
    <x v="4"/>
    <s v="GE 30524EE4"/>
    <n v="979.95"/>
    <n v="5"/>
    <n v="0"/>
    <n v="284.18549999999993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439999999999944"/>
  </r>
  <r>
    <s v="CA-2017-102659"/>
    <d v="2021-03-09T00:00:00"/>
    <s v="Standard Class"/>
    <s v="LW-17215"/>
    <s v="Luke Weiss"/>
    <s v="Consumer"/>
    <s v="United States"/>
    <s v="Grand Rapids"/>
    <s v="Michigan"/>
    <n v="49505"/>
    <s v="Central"/>
    <s v="OFF-BI-10000088"/>
    <s v="Office Supplies"/>
    <x v="0"/>
    <s v="GBC Imprintable Covers"/>
    <n v="54.900000000000006"/>
    <n v="5"/>
    <n v="0"/>
    <n v="26.901000000000003"/>
  </r>
  <r>
    <s v="CA-2017-142328"/>
    <d v="2021-03-07T00:00:00"/>
    <s v="Standard Class"/>
    <s v="TC-21535"/>
    <s v="Tracy Collins"/>
    <s v="Home Office"/>
    <s v="United States"/>
    <s v="San Francisco"/>
    <s v="California"/>
    <n v="94122"/>
    <s v="West"/>
    <s v="OFF-PA-10000380"/>
    <s v="Office Supplies"/>
    <x v="9"/>
    <s v="REDIFORM Incoming/Outgoing Call Register, 11&quot; X 8 1/2&quot;, 100 Messages"/>
    <n v="50.04"/>
    <n v="6"/>
    <n v="0"/>
    <n v="25.02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209"/>
    <s v="Office Supplies"/>
    <x v="0"/>
    <s v="Fellowes Twister Kit, Gray/Clear, 3/pkg"/>
    <n v="40.199999999999996"/>
    <n v="5"/>
    <n v="0"/>
    <n v="18.089999999999996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600"/>
    <s v="Office Supplies"/>
    <x v="0"/>
    <s v="Ibico Ibimaster 300 Manual Binding System"/>
    <n v="735.98"/>
    <n v="2"/>
    <n v="0"/>
    <n v="331.19099999999997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AP-10003622"/>
    <s v="Office Supplies"/>
    <x v="3"/>
    <s v="Bravo II Megaboss 12-Amp Hard Body Upright, Replacement Belts, 2 Belts per Pack"/>
    <n v="22.75"/>
    <n v="7"/>
    <n v="0"/>
    <n v="6.5974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8969F-07BD-4EFF-B0A0-019F3AE4A8A6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1" firstHeaderRow="1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8">
        <item x="6"/>
        <item x="3"/>
        <item x="14"/>
        <item x="0"/>
        <item x="12"/>
        <item x="13"/>
        <item x="8"/>
        <item x="7"/>
        <item x="5"/>
        <item x="1"/>
        <item x="11"/>
        <item x="16"/>
        <item x="9"/>
        <item x="4"/>
        <item x="2"/>
        <item x="15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13"/>
  </rowFields>
  <rowItems count="18">
    <i>
      <x v="5"/>
    </i>
    <i>
      <x v="14"/>
    </i>
    <i>
      <x v="13"/>
    </i>
    <i>
      <x v="16"/>
    </i>
    <i>
      <x v="6"/>
    </i>
    <i>
      <x v="1"/>
    </i>
    <i>
      <x v="3"/>
    </i>
    <i>
      <x/>
    </i>
    <i>
      <x v="9"/>
    </i>
    <i>
      <x v="12"/>
    </i>
    <i>
      <x v="4"/>
    </i>
    <i>
      <x v="15"/>
    </i>
    <i>
      <x v="11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5" baseField="13" baseItem="0" numFmtId="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D12"/>
  <sheetViews>
    <sheetView showGridLines="0" zoomScale="230" zoomScaleNormal="230" workbookViewId="0">
      <selection activeCell="B7" sqref="B7"/>
    </sheetView>
  </sheetViews>
  <sheetFormatPr baseColWidth="10" defaultColWidth="11" defaultRowHeight="15.75" x14ac:dyDescent="0.25"/>
  <cols>
    <col min="1" max="1" width="16.25" customWidth="1"/>
  </cols>
  <sheetData>
    <row r="1" spans="1:4" x14ac:dyDescent="0.25">
      <c r="A1" s="8" t="s">
        <v>1633</v>
      </c>
      <c r="B1" s="8" t="s">
        <v>1634</v>
      </c>
    </row>
    <row r="2" spans="1:4" x14ac:dyDescent="0.25">
      <c r="A2" s="9" t="s">
        <v>1635</v>
      </c>
      <c r="B2" s="10" t="s">
        <v>1645</v>
      </c>
    </row>
    <row r="3" spans="1:4" x14ac:dyDescent="0.25">
      <c r="A3" s="9" t="s">
        <v>1636</v>
      </c>
      <c r="B3" s="10">
        <v>2024</v>
      </c>
    </row>
    <row r="4" spans="1:4" x14ac:dyDescent="0.25">
      <c r="A4" s="9" t="s">
        <v>1637</v>
      </c>
      <c r="B4" s="11">
        <f>+SUM(Sales!P2:P463)</f>
        <v>83829.318799999994</v>
      </c>
    </row>
    <row r="5" spans="1:4" x14ac:dyDescent="0.25">
      <c r="A5" s="9" t="s">
        <v>1638</v>
      </c>
      <c r="B5" s="10" t="str">
        <f>+Top_Products!A4</f>
        <v>Chairs</v>
      </c>
    </row>
    <row r="6" spans="1:4" x14ac:dyDescent="0.25">
      <c r="A6" s="9" t="s">
        <v>1639</v>
      </c>
      <c r="B6" s="11">
        <f>+Top_Products!B4</f>
        <v>14966.457999999995</v>
      </c>
    </row>
    <row r="7" spans="1:4" x14ac:dyDescent="0.25">
      <c r="A7" s="9" t="s">
        <v>1640</v>
      </c>
      <c r="B7" s="10" t="str">
        <f>+Top_Products!A5</f>
        <v>Storage</v>
      </c>
    </row>
    <row r="8" spans="1:4" x14ac:dyDescent="0.25">
      <c r="A8" s="9" t="s">
        <v>1641</v>
      </c>
      <c r="B8" s="11">
        <f>+Top_Products!B5</f>
        <v>10201.077999999996</v>
      </c>
    </row>
    <row r="9" spans="1:4" x14ac:dyDescent="0.25">
      <c r="A9" s="9" t="s">
        <v>1642</v>
      </c>
      <c r="B9" s="10" t="str">
        <f>+Top_Products!A6</f>
        <v>Phones</v>
      </c>
    </row>
    <row r="10" spans="1:4" x14ac:dyDescent="0.25">
      <c r="A10" s="9" t="s">
        <v>1643</v>
      </c>
      <c r="B10" s="11">
        <f>+Top_Products!B6</f>
        <v>9067.0560000000005</v>
      </c>
    </row>
    <row r="12" spans="1:4" x14ac:dyDescent="0.25">
      <c r="D12" s="4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647700</xdr:colOff>
                    <xdr:row>3</xdr:row>
                    <xdr:rowOff>95250</xdr:rowOff>
                  </from>
                  <to>
                    <xdr:col>5</xdr:col>
                    <xdr:colOff>371475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F999-8708-4C94-8AAD-BED6985B20BD}">
  <sheetPr codeName="Sheet3">
    <tabColor theme="6" tint="0.79998168889431442"/>
  </sheetPr>
  <dimension ref="A2:B21"/>
  <sheetViews>
    <sheetView showGridLines="0" zoomScale="150" zoomScaleNormal="150" workbookViewId="0">
      <selection activeCell="G4" sqref="G4"/>
    </sheetView>
  </sheetViews>
  <sheetFormatPr baseColWidth="10" defaultColWidth="9" defaultRowHeight="15.75" x14ac:dyDescent="0.25"/>
  <cols>
    <col min="1" max="1" width="12.25" bestFit="1" customWidth="1"/>
    <col min="2" max="2" width="11.375" bestFit="1" customWidth="1"/>
  </cols>
  <sheetData>
    <row r="2" spans="1:2" x14ac:dyDescent="0.25">
      <c r="A2" s="12" t="s">
        <v>1644</v>
      </c>
      <c r="B2" s="12"/>
    </row>
    <row r="3" spans="1:2" x14ac:dyDescent="0.25">
      <c r="A3" s="5" t="s">
        <v>1630</v>
      </c>
      <c r="B3" t="s">
        <v>1632</v>
      </c>
    </row>
    <row r="4" spans="1:2" x14ac:dyDescent="0.25">
      <c r="A4" s="6" t="s">
        <v>168</v>
      </c>
      <c r="B4" s="7">
        <v>14966.457999999995</v>
      </c>
    </row>
    <row r="5" spans="1:2" x14ac:dyDescent="0.25">
      <c r="A5" s="6" t="s">
        <v>52</v>
      </c>
      <c r="B5" s="7">
        <v>10201.077999999996</v>
      </c>
    </row>
    <row r="6" spans="1:2" x14ac:dyDescent="0.25">
      <c r="A6" s="6" t="s">
        <v>87</v>
      </c>
      <c r="B6" s="7">
        <v>9067.0560000000005</v>
      </c>
    </row>
    <row r="7" spans="1:2" x14ac:dyDescent="0.25">
      <c r="A7" s="6" t="s">
        <v>155</v>
      </c>
      <c r="B7" s="7">
        <v>8725.2430000000004</v>
      </c>
    </row>
    <row r="8" spans="1:2" x14ac:dyDescent="0.25">
      <c r="A8" s="6" t="s">
        <v>149</v>
      </c>
      <c r="B8" s="7">
        <v>6679.8880000000008</v>
      </c>
    </row>
    <row r="9" spans="1:2" x14ac:dyDescent="0.25">
      <c r="A9" s="6" t="s">
        <v>70</v>
      </c>
      <c r="B9" s="7">
        <v>6516.8279999999986</v>
      </c>
    </row>
    <row r="10" spans="1:2" x14ac:dyDescent="0.25">
      <c r="A10" s="6" t="s">
        <v>45</v>
      </c>
      <c r="B10" s="7">
        <v>5536.101999999999</v>
      </c>
    </row>
    <row r="11" spans="1:2" x14ac:dyDescent="0.25">
      <c r="A11" s="6" t="s">
        <v>109</v>
      </c>
      <c r="B11" s="7">
        <v>4988.9959999999992</v>
      </c>
    </row>
    <row r="12" spans="1:2" x14ac:dyDescent="0.25">
      <c r="A12" s="6" t="s">
        <v>49</v>
      </c>
      <c r="B12" s="7">
        <v>4061.6680000000006</v>
      </c>
    </row>
    <row r="13" spans="1:2" x14ac:dyDescent="0.25">
      <c r="A13" s="6" t="s">
        <v>152</v>
      </c>
      <c r="B13" s="7">
        <v>3890.7100000000014</v>
      </c>
    </row>
    <row r="14" spans="1:2" x14ac:dyDescent="0.25">
      <c r="A14" s="6" t="s">
        <v>165</v>
      </c>
      <c r="B14" s="7">
        <v>3654.0978</v>
      </c>
    </row>
    <row r="15" spans="1:2" x14ac:dyDescent="0.25">
      <c r="A15" s="6" t="s">
        <v>435</v>
      </c>
      <c r="B15" s="7">
        <v>2566.3380000000002</v>
      </c>
    </row>
    <row r="16" spans="1:2" x14ac:dyDescent="0.25">
      <c r="A16" s="6" t="s">
        <v>823</v>
      </c>
      <c r="B16" s="7">
        <v>1248.97</v>
      </c>
    </row>
    <row r="17" spans="1:2" x14ac:dyDescent="0.25">
      <c r="A17" s="6" t="s">
        <v>175</v>
      </c>
      <c r="B17" s="7">
        <v>862.27800000000013</v>
      </c>
    </row>
    <row r="18" spans="1:2" x14ac:dyDescent="0.25">
      <c r="A18" s="6" t="s">
        <v>123</v>
      </c>
      <c r="B18" s="7">
        <v>414.86</v>
      </c>
    </row>
    <row r="19" spans="1:2" x14ac:dyDescent="0.25">
      <c r="A19" s="6" t="s">
        <v>160</v>
      </c>
      <c r="B19" s="7">
        <v>278.71599999999995</v>
      </c>
    </row>
    <row r="20" spans="1:2" x14ac:dyDescent="0.25">
      <c r="A20" s="6" t="s">
        <v>101</v>
      </c>
      <c r="B20" s="7">
        <v>170.03200000000001</v>
      </c>
    </row>
    <row r="21" spans="1:2" x14ac:dyDescent="0.25">
      <c r="A21" s="6" t="s">
        <v>1631</v>
      </c>
      <c r="B21" s="7">
        <v>83829.318799999994</v>
      </c>
    </row>
  </sheetData>
  <mergeCells count="1"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6201-D150-4507-8F3B-5611152892CB}">
  <sheetPr codeName="Sheet4">
    <tabColor theme="6" tint="0.79998168889431442"/>
  </sheetPr>
  <dimension ref="A1:S463"/>
  <sheetViews>
    <sheetView workbookViewId="0">
      <selection activeCell="G4" sqref="G4"/>
    </sheetView>
  </sheetViews>
  <sheetFormatPr baseColWidth="10" defaultColWidth="9" defaultRowHeight="15.75" x14ac:dyDescent="0.25"/>
  <cols>
    <col min="1" max="1" width="14.5" bestFit="1" customWidth="1"/>
    <col min="2" max="2" width="10.375" bestFit="1" customWidth="1"/>
    <col min="3" max="3" width="13.25" bestFit="1" customWidth="1"/>
    <col min="4" max="4" width="11.25" bestFit="1" customWidth="1"/>
    <col min="5" max="5" width="19.375" bestFit="1" customWidth="1"/>
    <col min="6" max="6" width="11.125" bestFit="1" customWidth="1"/>
    <col min="7" max="7" width="12.25" bestFit="1" customWidth="1"/>
    <col min="8" max="8" width="15.5" bestFit="1" customWidth="1"/>
    <col min="9" max="9" width="13.375" bestFit="1" customWidth="1"/>
    <col min="10" max="10" width="11.25" customWidth="1"/>
    <col min="11" max="11" width="7" bestFit="1" customWidth="1"/>
    <col min="12" max="12" width="16.25" bestFit="1" customWidth="1"/>
    <col min="13" max="13" width="13.25" bestFit="1" customWidth="1"/>
    <col min="14" max="14" width="12.375" bestFit="1" customWidth="1"/>
    <col min="15" max="15" width="35.75" customWidth="1"/>
    <col min="16" max="16" width="8.875" bestFit="1" customWidth="1"/>
    <col min="17" max="17" width="8.5" bestFit="1" customWidth="1"/>
    <col min="18" max="18" width="8.375" bestFit="1" customWidth="1"/>
    <col min="19" max="19" width="10.5" bestFit="1" customWidth="1"/>
  </cols>
  <sheetData>
    <row r="1" spans="1:19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</row>
    <row r="2" spans="1:19" x14ac:dyDescent="0.25">
      <c r="A2" t="s">
        <v>34</v>
      </c>
      <c r="B2" s="4">
        <v>44264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41</v>
      </c>
      <c r="J2">
        <v>77041</v>
      </c>
      <c r="K2" t="s">
        <v>42</v>
      </c>
      <c r="L2" t="s">
        <v>43</v>
      </c>
      <c r="M2" t="s">
        <v>44</v>
      </c>
      <c r="N2" t="s">
        <v>45</v>
      </c>
      <c r="O2" t="s">
        <v>46</v>
      </c>
      <c r="P2">
        <v>1.2479999999999998</v>
      </c>
      <c r="Q2">
        <v>3</v>
      </c>
      <c r="R2">
        <v>0.8</v>
      </c>
      <c r="S2">
        <v>-1.9344000000000006</v>
      </c>
    </row>
    <row r="3" spans="1:19" x14ac:dyDescent="0.25">
      <c r="A3" t="s">
        <v>34</v>
      </c>
      <c r="B3" s="4">
        <v>44264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>
        <v>77041</v>
      </c>
      <c r="K3" t="s">
        <v>42</v>
      </c>
      <c r="L3" t="s">
        <v>47</v>
      </c>
      <c r="M3" t="s">
        <v>48</v>
      </c>
      <c r="N3" t="s">
        <v>49</v>
      </c>
      <c r="O3" t="s">
        <v>50</v>
      </c>
      <c r="P3">
        <v>9.7080000000000002</v>
      </c>
      <c r="Q3">
        <v>3</v>
      </c>
      <c r="R3">
        <v>0.6</v>
      </c>
      <c r="S3">
        <v>-5.8248000000000015</v>
      </c>
    </row>
    <row r="4" spans="1:19" x14ac:dyDescent="0.25">
      <c r="A4" t="s">
        <v>34</v>
      </c>
      <c r="B4" s="4">
        <v>44264</v>
      </c>
      <c r="C4" t="s">
        <v>35</v>
      </c>
      <c r="D4" t="s">
        <v>36</v>
      </c>
      <c r="E4" t="s">
        <v>37</v>
      </c>
      <c r="F4" t="s">
        <v>38</v>
      </c>
      <c r="G4" t="s">
        <v>39</v>
      </c>
      <c r="H4" t="s">
        <v>40</v>
      </c>
      <c r="I4" t="s">
        <v>41</v>
      </c>
      <c r="J4">
        <v>77041</v>
      </c>
      <c r="K4" t="s">
        <v>42</v>
      </c>
      <c r="L4" t="s">
        <v>51</v>
      </c>
      <c r="M4" t="s">
        <v>44</v>
      </c>
      <c r="N4" t="s">
        <v>52</v>
      </c>
      <c r="O4" t="s">
        <v>53</v>
      </c>
      <c r="P4">
        <v>27.240000000000002</v>
      </c>
      <c r="Q4">
        <v>3</v>
      </c>
      <c r="R4">
        <v>0.2</v>
      </c>
      <c r="S4">
        <v>2.724000000000002</v>
      </c>
    </row>
    <row r="5" spans="1:19" x14ac:dyDescent="0.25">
      <c r="A5" t="s">
        <v>54</v>
      </c>
      <c r="B5" s="4">
        <v>44280</v>
      </c>
      <c r="C5" t="s">
        <v>55</v>
      </c>
      <c r="D5" t="s">
        <v>56</v>
      </c>
      <c r="E5" t="s">
        <v>57</v>
      </c>
      <c r="F5" t="s">
        <v>38</v>
      </c>
      <c r="G5" t="s">
        <v>39</v>
      </c>
      <c r="H5" t="s">
        <v>58</v>
      </c>
      <c r="I5" t="s">
        <v>59</v>
      </c>
      <c r="J5">
        <v>10035</v>
      </c>
      <c r="K5" t="s">
        <v>60</v>
      </c>
      <c r="L5" t="s">
        <v>61</v>
      </c>
      <c r="M5" t="s">
        <v>48</v>
      </c>
      <c r="N5" t="s">
        <v>49</v>
      </c>
      <c r="O5" t="s">
        <v>62</v>
      </c>
      <c r="P5">
        <v>41.96</v>
      </c>
      <c r="Q5">
        <v>2</v>
      </c>
      <c r="R5">
        <v>0</v>
      </c>
      <c r="S5">
        <v>10.909600000000001</v>
      </c>
    </row>
    <row r="6" spans="1:19" x14ac:dyDescent="0.25">
      <c r="A6" t="s">
        <v>63</v>
      </c>
      <c r="B6" s="4">
        <v>44277</v>
      </c>
      <c r="C6" t="s">
        <v>55</v>
      </c>
      <c r="D6" t="s">
        <v>64</v>
      </c>
      <c r="E6" t="s">
        <v>65</v>
      </c>
      <c r="F6" t="s">
        <v>66</v>
      </c>
      <c r="G6" t="s">
        <v>39</v>
      </c>
      <c r="H6" t="s">
        <v>67</v>
      </c>
      <c r="I6" t="s">
        <v>68</v>
      </c>
      <c r="J6">
        <v>64055</v>
      </c>
      <c r="K6" t="s">
        <v>42</v>
      </c>
      <c r="L6" t="s">
        <v>69</v>
      </c>
      <c r="M6" t="s">
        <v>44</v>
      </c>
      <c r="N6" t="s">
        <v>70</v>
      </c>
      <c r="O6" t="s">
        <v>71</v>
      </c>
      <c r="P6">
        <v>839.43000000000006</v>
      </c>
      <c r="Q6">
        <v>3</v>
      </c>
      <c r="R6">
        <v>0</v>
      </c>
      <c r="S6">
        <v>218.25179999999997</v>
      </c>
    </row>
    <row r="7" spans="1:19" x14ac:dyDescent="0.25">
      <c r="A7" t="s">
        <v>72</v>
      </c>
      <c r="B7" s="4">
        <v>44272</v>
      </c>
      <c r="C7" t="s">
        <v>73</v>
      </c>
      <c r="D7" t="s">
        <v>74</v>
      </c>
      <c r="E7" t="s">
        <v>75</v>
      </c>
      <c r="F7" t="s">
        <v>66</v>
      </c>
      <c r="G7" t="s">
        <v>39</v>
      </c>
      <c r="H7" t="s">
        <v>76</v>
      </c>
      <c r="I7" t="s">
        <v>41</v>
      </c>
      <c r="J7">
        <v>75220</v>
      </c>
      <c r="K7" t="s">
        <v>42</v>
      </c>
      <c r="L7" t="s">
        <v>77</v>
      </c>
      <c r="M7" t="s">
        <v>44</v>
      </c>
      <c r="N7" t="s">
        <v>70</v>
      </c>
      <c r="O7" t="s">
        <v>78</v>
      </c>
      <c r="P7">
        <v>66.283999999999992</v>
      </c>
      <c r="Q7">
        <v>2</v>
      </c>
      <c r="R7">
        <v>0.8</v>
      </c>
      <c r="S7">
        <v>-178.96680000000001</v>
      </c>
    </row>
    <row r="8" spans="1:19" x14ac:dyDescent="0.25">
      <c r="A8" t="s">
        <v>79</v>
      </c>
      <c r="B8" s="4">
        <v>44264</v>
      </c>
      <c r="C8" t="s">
        <v>55</v>
      </c>
      <c r="D8" t="s">
        <v>80</v>
      </c>
      <c r="E8" t="s">
        <v>81</v>
      </c>
      <c r="F8" t="s">
        <v>66</v>
      </c>
      <c r="G8" t="s">
        <v>39</v>
      </c>
      <c r="H8" t="s">
        <v>82</v>
      </c>
      <c r="I8" t="s">
        <v>83</v>
      </c>
      <c r="J8">
        <v>90604</v>
      </c>
      <c r="K8" t="s">
        <v>84</v>
      </c>
      <c r="L8" t="s">
        <v>85</v>
      </c>
      <c r="M8" t="s">
        <v>86</v>
      </c>
      <c r="N8" t="s">
        <v>87</v>
      </c>
      <c r="O8" t="s">
        <v>88</v>
      </c>
      <c r="P8">
        <v>444.76800000000003</v>
      </c>
      <c r="Q8">
        <v>4</v>
      </c>
      <c r="R8">
        <v>0.2</v>
      </c>
      <c r="S8">
        <v>44.476800000000026</v>
      </c>
    </row>
    <row r="9" spans="1:19" x14ac:dyDescent="0.25">
      <c r="A9" t="s">
        <v>89</v>
      </c>
      <c r="B9" s="4">
        <v>44256</v>
      </c>
      <c r="C9" t="s">
        <v>55</v>
      </c>
      <c r="D9" t="s">
        <v>90</v>
      </c>
      <c r="E9" t="s">
        <v>91</v>
      </c>
      <c r="F9" t="s">
        <v>66</v>
      </c>
      <c r="G9" t="s">
        <v>39</v>
      </c>
      <c r="H9" t="s">
        <v>92</v>
      </c>
      <c r="I9" t="s">
        <v>93</v>
      </c>
      <c r="J9">
        <v>48601</v>
      </c>
      <c r="K9" t="s">
        <v>42</v>
      </c>
      <c r="L9" t="s">
        <v>94</v>
      </c>
      <c r="M9" t="s">
        <v>44</v>
      </c>
      <c r="N9" t="s">
        <v>52</v>
      </c>
      <c r="O9" t="s">
        <v>95</v>
      </c>
      <c r="P9">
        <v>83.92</v>
      </c>
      <c r="Q9">
        <v>4</v>
      </c>
      <c r="R9">
        <v>0</v>
      </c>
      <c r="S9">
        <v>5.8743999999999943</v>
      </c>
    </row>
    <row r="10" spans="1:19" x14ac:dyDescent="0.25">
      <c r="A10" t="s">
        <v>89</v>
      </c>
      <c r="B10" s="4">
        <v>44256</v>
      </c>
      <c r="C10" t="s">
        <v>55</v>
      </c>
      <c r="D10" t="s">
        <v>90</v>
      </c>
      <c r="E10" t="s">
        <v>91</v>
      </c>
      <c r="F10" t="s">
        <v>66</v>
      </c>
      <c r="G10" t="s">
        <v>39</v>
      </c>
      <c r="H10" t="s">
        <v>92</v>
      </c>
      <c r="I10" t="s">
        <v>93</v>
      </c>
      <c r="J10">
        <v>48601</v>
      </c>
      <c r="K10" t="s">
        <v>42</v>
      </c>
      <c r="L10" t="s">
        <v>96</v>
      </c>
      <c r="M10" t="s">
        <v>86</v>
      </c>
      <c r="N10" t="s">
        <v>87</v>
      </c>
      <c r="O10" t="s">
        <v>97</v>
      </c>
      <c r="P10">
        <v>131.97999999999999</v>
      </c>
      <c r="Q10">
        <v>2</v>
      </c>
      <c r="R10">
        <v>0</v>
      </c>
      <c r="S10">
        <v>35.634600000000006</v>
      </c>
    </row>
    <row r="11" spans="1:19" x14ac:dyDescent="0.25">
      <c r="A11" t="s">
        <v>89</v>
      </c>
      <c r="B11" s="4">
        <v>44256</v>
      </c>
      <c r="C11" t="s">
        <v>55</v>
      </c>
      <c r="D11" t="s">
        <v>90</v>
      </c>
      <c r="E11" t="s">
        <v>91</v>
      </c>
      <c r="F11" t="s">
        <v>66</v>
      </c>
      <c r="G11" t="s">
        <v>39</v>
      </c>
      <c r="H11" t="s">
        <v>92</v>
      </c>
      <c r="I11" t="s">
        <v>93</v>
      </c>
      <c r="J11">
        <v>48601</v>
      </c>
      <c r="K11" t="s">
        <v>42</v>
      </c>
      <c r="L11" t="s">
        <v>98</v>
      </c>
      <c r="M11" t="s">
        <v>44</v>
      </c>
      <c r="N11" t="s">
        <v>45</v>
      </c>
      <c r="O11" t="s">
        <v>99</v>
      </c>
      <c r="P11">
        <v>15.92</v>
      </c>
      <c r="Q11">
        <v>4</v>
      </c>
      <c r="R11">
        <v>0</v>
      </c>
      <c r="S11">
        <v>7.4824000000000002</v>
      </c>
    </row>
    <row r="12" spans="1:19" x14ac:dyDescent="0.25">
      <c r="A12" t="s">
        <v>89</v>
      </c>
      <c r="B12" s="4">
        <v>44256</v>
      </c>
      <c r="C12" t="s">
        <v>55</v>
      </c>
      <c r="D12" t="s">
        <v>90</v>
      </c>
      <c r="E12" t="s">
        <v>91</v>
      </c>
      <c r="F12" t="s">
        <v>66</v>
      </c>
      <c r="G12" t="s">
        <v>39</v>
      </c>
      <c r="H12" t="s">
        <v>92</v>
      </c>
      <c r="I12" t="s">
        <v>93</v>
      </c>
      <c r="J12">
        <v>48601</v>
      </c>
      <c r="K12" t="s">
        <v>42</v>
      </c>
      <c r="L12" t="s">
        <v>100</v>
      </c>
      <c r="M12" t="s">
        <v>44</v>
      </c>
      <c r="N12" t="s">
        <v>101</v>
      </c>
      <c r="O12" t="s">
        <v>102</v>
      </c>
      <c r="P12">
        <v>52.29</v>
      </c>
      <c r="Q12">
        <v>9</v>
      </c>
      <c r="R12">
        <v>0</v>
      </c>
      <c r="S12">
        <v>16.209899999999998</v>
      </c>
    </row>
    <row r="13" spans="1:19" x14ac:dyDescent="0.25">
      <c r="A13" t="s">
        <v>89</v>
      </c>
      <c r="B13" s="4">
        <v>44256</v>
      </c>
      <c r="C13" t="s">
        <v>55</v>
      </c>
      <c r="D13" t="s">
        <v>90</v>
      </c>
      <c r="E13" t="s">
        <v>91</v>
      </c>
      <c r="F13" t="s">
        <v>66</v>
      </c>
      <c r="G13" t="s">
        <v>39</v>
      </c>
      <c r="H13" t="s">
        <v>92</v>
      </c>
      <c r="I13" t="s">
        <v>93</v>
      </c>
      <c r="J13">
        <v>48601</v>
      </c>
      <c r="K13" t="s">
        <v>42</v>
      </c>
      <c r="L13" t="s">
        <v>103</v>
      </c>
      <c r="M13" t="s">
        <v>44</v>
      </c>
      <c r="N13" t="s">
        <v>52</v>
      </c>
      <c r="O13" t="s">
        <v>104</v>
      </c>
      <c r="P13">
        <v>91.99</v>
      </c>
      <c r="Q13">
        <v>1</v>
      </c>
      <c r="R13">
        <v>0</v>
      </c>
      <c r="S13">
        <v>3.6795999999999935</v>
      </c>
    </row>
    <row r="14" spans="1:19" x14ac:dyDescent="0.25">
      <c r="A14" t="s">
        <v>105</v>
      </c>
      <c r="B14" s="4">
        <v>44256</v>
      </c>
      <c r="C14" t="s">
        <v>73</v>
      </c>
      <c r="D14" t="s">
        <v>106</v>
      </c>
      <c r="E14" t="s">
        <v>107</v>
      </c>
      <c r="F14" t="s">
        <v>66</v>
      </c>
      <c r="G14" t="s">
        <v>39</v>
      </c>
      <c r="H14" t="s">
        <v>58</v>
      </c>
      <c r="I14" t="s">
        <v>59</v>
      </c>
      <c r="J14">
        <v>10009</v>
      </c>
      <c r="K14" t="s">
        <v>60</v>
      </c>
      <c r="L14" t="s">
        <v>108</v>
      </c>
      <c r="M14" t="s">
        <v>86</v>
      </c>
      <c r="N14" t="s">
        <v>109</v>
      </c>
      <c r="O14" t="s">
        <v>110</v>
      </c>
      <c r="P14">
        <v>20.37</v>
      </c>
      <c r="Q14">
        <v>3</v>
      </c>
      <c r="R14">
        <v>0</v>
      </c>
      <c r="S14">
        <v>6.9258000000000006</v>
      </c>
    </row>
    <row r="15" spans="1:19" x14ac:dyDescent="0.25">
      <c r="A15" t="s">
        <v>105</v>
      </c>
      <c r="B15" s="4">
        <v>44256</v>
      </c>
      <c r="C15" t="s">
        <v>73</v>
      </c>
      <c r="D15" t="s">
        <v>106</v>
      </c>
      <c r="E15" t="s">
        <v>107</v>
      </c>
      <c r="F15" t="s">
        <v>66</v>
      </c>
      <c r="G15" t="s">
        <v>39</v>
      </c>
      <c r="H15" t="s">
        <v>58</v>
      </c>
      <c r="I15" t="s">
        <v>59</v>
      </c>
      <c r="J15">
        <v>10009</v>
      </c>
      <c r="K15" t="s">
        <v>60</v>
      </c>
      <c r="L15" t="s">
        <v>111</v>
      </c>
      <c r="M15" t="s">
        <v>44</v>
      </c>
      <c r="N15" t="s">
        <v>52</v>
      </c>
      <c r="O15" t="s">
        <v>112</v>
      </c>
      <c r="P15">
        <v>221.54999999999998</v>
      </c>
      <c r="Q15">
        <v>3</v>
      </c>
      <c r="R15">
        <v>0</v>
      </c>
      <c r="S15">
        <v>6.6465000000000174</v>
      </c>
    </row>
    <row r="16" spans="1:19" x14ac:dyDescent="0.25">
      <c r="A16" t="s">
        <v>105</v>
      </c>
      <c r="B16" s="4">
        <v>44256</v>
      </c>
      <c r="C16" t="s">
        <v>73</v>
      </c>
      <c r="D16" t="s">
        <v>106</v>
      </c>
      <c r="E16" t="s">
        <v>107</v>
      </c>
      <c r="F16" t="s">
        <v>66</v>
      </c>
      <c r="G16" t="s">
        <v>39</v>
      </c>
      <c r="H16" t="s">
        <v>58</v>
      </c>
      <c r="I16" t="s">
        <v>59</v>
      </c>
      <c r="J16">
        <v>10009</v>
      </c>
      <c r="K16" t="s">
        <v>60</v>
      </c>
      <c r="L16" t="s">
        <v>113</v>
      </c>
      <c r="M16" t="s">
        <v>44</v>
      </c>
      <c r="N16" t="s">
        <v>45</v>
      </c>
      <c r="O16" t="s">
        <v>114</v>
      </c>
      <c r="P16">
        <v>17.52</v>
      </c>
      <c r="Q16">
        <v>5</v>
      </c>
      <c r="R16">
        <v>0.2</v>
      </c>
      <c r="S16">
        <v>6.1319999999999988</v>
      </c>
    </row>
    <row r="17" spans="1:19" x14ac:dyDescent="0.25">
      <c r="A17" t="s">
        <v>115</v>
      </c>
      <c r="B17" s="4">
        <v>44264</v>
      </c>
      <c r="C17" t="s">
        <v>55</v>
      </c>
      <c r="D17" t="s">
        <v>116</v>
      </c>
      <c r="E17" t="s">
        <v>117</v>
      </c>
      <c r="F17" t="s">
        <v>38</v>
      </c>
      <c r="G17" t="s">
        <v>39</v>
      </c>
      <c r="H17" t="s">
        <v>118</v>
      </c>
      <c r="I17" t="s">
        <v>119</v>
      </c>
      <c r="J17">
        <v>45231</v>
      </c>
      <c r="K17" t="s">
        <v>60</v>
      </c>
      <c r="L17" t="s">
        <v>120</v>
      </c>
      <c r="M17" t="s">
        <v>44</v>
      </c>
      <c r="N17" t="s">
        <v>52</v>
      </c>
      <c r="O17" t="s">
        <v>121</v>
      </c>
      <c r="P17">
        <v>37.207999999999998</v>
      </c>
      <c r="Q17">
        <v>1</v>
      </c>
      <c r="R17">
        <v>0.2</v>
      </c>
      <c r="S17">
        <v>-7.4416000000000011</v>
      </c>
    </row>
    <row r="18" spans="1:19" x14ac:dyDescent="0.25">
      <c r="A18" t="s">
        <v>115</v>
      </c>
      <c r="B18" s="4">
        <v>44264</v>
      </c>
      <c r="C18" t="s">
        <v>55</v>
      </c>
      <c r="D18" t="s">
        <v>116</v>
      </c>
      <c r="E18" t="s">
        <v>117</v>
      </c>
      <c r="F18" t="s">
        <v>38</v>
      </c>
      <c r="G18" t="s">
        <v>39</v>
      </c>
      <c r="H18" t="s">
        <v>118</v>
      </c>
      <c r="I18" t="s">
        <v>119</v>
      </c>
      <c r="J18">
        <v>45231</v>
      </c>
      <c r="K18" t="s">
        <v>60</v>
      </c>
      <c r="L18" t="s">
        <v>122</v>
      </c>
      <c r="M18" t="s">
        <v>44</v>
      </c>
      <c r="N18" t="s">
        <v>123</v>
      </c>
      <c r="O18" t="s">
        <v>124</v>
      </c>
      <c r="P18">
        <v>57.576000000000001</v>
      </c>
      <c r="Q18">
        <v>3</v>
      </c>
      <c r="R18">
        <v>0.2</v>
      </c>
      <c r="S18">
        <v>21.591000000000001</v>
      </c>
    </row>
    <row r="19" spans="1:19" x14ac:dyDescent="0.25">
      <c r="A19" t="s">
        <v>125</v>
      </c>
      <c r="B19" s="4">
        <v>44283</v>
      </c>
      <c r="C19" t="s">
        <v>73</v>
      </c>
      <c r="D19" t="s">
        <v>126</v>
      </c>
      <c r="E19" t="s">
        <v>127</v>
      </c>
      <c r="F19" t="s">
        <v>38</v>
      </c>
      <c r="G19" t="s">
        <v>39</v>
      </c>
      <c r="H19" t="s">
        <v>128</v>
      </c>
      <c r="I19" t="s">
        <v>83</v>
      </c>
      <c r="J19">
        <v>94110</v>
      </c>
      <c r="K19" t="s">
        <v>84</v>
      </c>
      <c r="L19" t="s">
        <v>129</v>
      </c>
      <c r="M19" t="s">
        <v>44</v>
      </c>
      <c r="N19" t="s">
        <v>52</v>
      </c>
      <c r="O19" t="s">
        <v>130</v>
      </c>
      <c r="P19">
        <v>725.84</v>
      </c>
      <c r="Q19">
        <v>4</v>
      </c>
      <c r="R19">
        <v>0</v>
      </c>
      <c r="S19">
        <v>210.4935999999999</v>
      </c>
    </row>
    <row r="20" spans="1:19" x14ac:dyDescent="0.25">
      <c r="A20" t="s">
        <v>131</v>
      </c>
      <c r="B20" s="4">
        <v>44266</v>
      </c>
      <c r="C20" t="s">
        <v>55</v>
      </c>
      <c r="D20" t="s">
        <v>132</v>
      </c>
      <c r="E20" t="s">
        <v>133</v>
      </c>
      <c r="F20" t="s">
        <v>66</v>
      </c>
      <c r="G20" t="s">
        <v>39</v>
      </c>
      <c r="H20" t="s">
        <v>58</v>
      </c>
      <c r="I20" t="s">
        <v>59</v>
      </c>
      <c r="J20">
        <v>10009</v>
      </c>
      <c r="K20" t="s">
        <v>60</v>
      </c>
      <c r="L20" t="s">
        <v>134</v>
      </c>
      <c r="M20" t="s">
        <v>44</v>
      </c>
      <c r="N20" t="s">
        <v>45</v>
      </c>
      <c r="O20" t="s">
        <v>135</v>
      </c>
      <c r="P20">
        <v>23.36</v>
      </c>
      <c r="Q20">
        <v>4</v>
      </c>
      <c r="R20">
        <v>0.2</v>
      </c>
      <c r="S20">
        <v>7.8839999999999986</v>
      </c>
    </row>
    <row r="21" spans="1:19" x14ac:dyDescent="0.25">
      <c r="A21" t="s">
        <v>131</v>
      </c>
      <c r="B21" s="4">
        <v>44266</v>
      </c>
      <c r="C21" t="s">
        <v>55</v>
      </c>
      <c r="D21" t="s">
        <v>132</v>
      </c>
      <c r="E21" t="s">
        <v>133</v>
      </c>
      <c r="F21" t="s">
        <v>66</v>
      </c>
      <c r="G21" t="s">
        <v>39</v>
      </c>
      <c r="H21" t="s">
        <v>58</v>
      </c>
      <c r="I21" t="s">
        <v>59</v>
      </c>
      <c r="J21">
        <v>10009</v>
      </c>
      <c r="K21" t="s">
        <v>60</v>
      </c>
      <c r="L21" t="s">
        <v>136</v>
      </c>
      <c r="M21" t="s">
        <v>86</v>
      </c>
      <c r="N21" t="s">
        <v>109</v>
      </c>
      <c r="O21" t="s">
        <v>137</v>
      </c>
      <c r="P21">
        <v>39.979999999999997</v>
      </c>
      <c r="Q21">
        <v>2</v>
      </c>
      <c r="R21">
        <v>0</v>
      </c>
      <c r="S21">
        <v>13.593199999999996</v>
      </c>
    </row>
    <row r="22" spans="1:19" x14ac:dyDescent="0.25">
      <c r="A22" t="s">
        <v>138</v>
      </c>
      <c r="B22" s="4">
        <v>44279</v>
      </c>
      <c r="C22" t="s">
        <v>55</v>
      </c>
      <c r="D22" t="s">
        <v>139</v>
      </c>
      <c r="E22" t="s">
        <v>140</v>
      </c>
      <c r="F22" t="s">
        <v>66</v>
      </c>
      <c r="G22" t="s">
        <v>39</v>
      </c>
      <c r="H22" t="s">
        <v>58</v>
      </c>
      <c r="I22" t="s">
        <v>59</v>
      </c>
      <c r="J22">
        <v>10024</v>
      </c>
      <c r="K22" t="s">
        <v>60</v>
      </c>
      <c r="L22" t="s">
        <v>141</v>
      </c>
      <c r="M22" t="s">
        <v>44</v>
      </c>
      <c r="N22" t="s">
        <v>70</v>
      </c>
      <c r="O22" t="s">
        <v>142</v>
      </c>
      <c r="P22">
        <v>35.910000000000004</v>
      </c>
      <c r="Q22">
        <v>3</v>
      </c>
      <c r="R22">
        <v>0</v>
      </c>
      <c r="S22">
        <v>9.6956999999999987</v>
      </c>
    </row>
    <row r="23" spans="1:19" x14ac:dyDescent="0.25">
      <c r="A23" t="s">
        <v>143</v>
      </c>
      <c r="B23" s="4">
        <v>44263</v>
      </c>
      <c r="C23" t="s">
        <v>55</v>
      </c>
      <c r="D23" t="s">
        <v>144</v>
      </c>
      <c r="E23" t="s">
        <v>145</v>
      </c>
      <c r="F23" t="s">
        <v>66</v>
      </c>
      <c r="G23" t="s">
        <v>39</v>
      </c>
      <c r="H23" t="s">
        <v>128</v>
      </c>
      <c r="I23" t="s">
        <v>83</v>
      </c>
      <c r="J23">
        <v>94110</v>
      </c>
      <c r="K23" t="s">
        <v>84</v>
      </c>
      <c r="L23" t="s">
        <v>146</v>
      </c>
      <c r="M23" t="s">
        <v>86</v>
      </c>
      <c r="N23" t="s">
        <v>109</v>
      </c>
      <c r="O23" t="s">
        <v>147</v>
      </c>
      <c r="P23">
        <v>179.95000000000002</v>
      </c>
      <c r="Q23">
        <v>5</v>
      </c>
      <c r="R23">
        <v>0</v>
      </c>
      <c r="S23">
        <v>37.789500000000004</v>
      </c>
    </row>
    <row r="24" spans="1:19" x14ac:dyDescent="0.25">
      <c r="A24" t="s">
        <v>143</v>
      </c>
      <c r="B24" s="4">
        <v>44263</v>
      </c>
      <c r="C24" t="s">
        <v>55</v>
      </c>
      <c r="D24" t="s">
        <v>144</v>
      </c>
      <c r="E24" t="s">
        <v>145</v>
      </c>
      <c r="F24" t="s">
        <v>66</v>
      </c>
      <c r="G24" t="s">
        <v>39</v>
      </c>
      <c r="H24" t="s">
        <v>128</v>
      </c>
      <c r="I24" t="s">
        <v>83</v>
      </c>
      <c r="J24">
        <v>94110</v>
      </c>
      <c r="K24" t="s">
        <v>84</v>
      </c>
      <c r="L24" t="s">
        <v>148</v>
      </c>
      <c r="M24" t="s">
        <v>86</v>
      </c>
      <c r="N24" t="s">
        <v>149</v>
      </c>
      <c r="O24" t="s">
        <v>150</v>
      </c>
      <c r="P24">
        <v>1199.9760000000001</v>
      </c>
      <c r="Q24">
        <v>3</v>
      </c>
      <c r="R24">
        <v>0.2</v>
      </c>
      <c r="S24">
        <v>434.99130000000002</v>
      </c>
    </row>
    <row r="25" spans="1:19" x14ac:dyDescent="0.25">
      <c r="A25" t="s">
        <v>143</v>
      </c>
      <c r="B25" s="4">
        <v>44263</v>
      </c>
      <c r="C25" t="s">
        <v>55</v>
      </c>
      <c r="D25" t="s">
        <v>144</v>
      </c>
      <c r="E25" t="s">
        <v>145</v>
      </c>
      <c r="F25" t="s">
        <v>66</v>
      </c>
      <c r="G25" t="s">
        <v>39</v>
      </c>
      <c r="H25" t="s">
        <v>128</v>
      </c>
      <c r="I25" t="s">
        <v>83</v>
      </c>
      <c r="J25">
        <v>94110</v>
      </c>
      <c r="K25" t="s">
        <v>84</v>
      </c>
      <c r="L25" t="s">
        <v>151</v>
      </c>
      <c r="M25" t="s">
        <v>44</v>
      </c>
      <c r="N25" t="s">
        <v>152</v>
      </c>
      <c r="O25" t="s">
        <v>153</v>
      </c>
      <c r="P25">
        <v>27.15</v>
      </c>
      <c r="Q25">
        <v>5</v>
      </c>
      <c r="R25">
        <v>0</v>
      </c>
      <c r="S25">
        <v>13.3035</v>
      </c>
    </row>
    <row r="26" spans="1:19" x14ac:dyDescent="0.25">
      <c r="A26" t="s">
        <v>143</v>
      </c>
      <c r="B26" s="4">
        <v>44263</v>
      </c>
      <c r="C26" t="s">
        <v>55</v>
      </c>
      <c r="D26" t="s">
        <v>144</v>
      </c>
      <c r="E26" t="s">
        <v>145</v>
      </c>
      <c r="F26" t="s">
        <v>66</v>
      </c>
      <c r="G26" t="s">
        <v>39</v>
      </c>
      <c r="H26" t="s">
        <v>128</v>
      </c>
      <c r="I26" t="s">
        <v>83</v>
      </c>
      <c r="J26">
        <v>94110</v>
      </c>
      <c r="K26" t="s">
        <v>84</v>
      </c>
      <c r="L26" t="s">
        <v>154</v>
      </c>
      <c r="M26" t="s">
        <v>48</v>
      </c>
      <c r="N26" t="s">
        <v>155</v>
      </c>
      <c r="O26" t="s">
        <v>156</v>
      </c>
      <c r="P26">
        <v>1004.0239999999999</v>
      </c>
      <c r="Q26">
        <v>7</v>
      </c>
      <c r="R26">
        <v>0.2</v>
      </c>
      <c r="S26">
        <v>-112.95269999999994</v>
      </c>
    </row>
    <row r="27" spans="1:19" x14ac:dyDescent="0.25">
      <c r="A27" t="s">
        <v>143</v>
      </c>
      <c r="B27" s="4">
        <v>44263</v>
      </c>
      <c r="C27" t="s">
        <v>55</v>
      </c>
      <c r="D27" t="s">
        <v>144</v>
      </c>
      <c r="E27" t="s">
        <v>145</v>
      </c>
      <c r="F27" t="s">
        <v>66</v>
      </c>
      <c r="G27" t="s">
        <v>39</v>
      </c>
      <c r="H27" t="s">
        <v>128</v>
      </c>
      <c r="I27" t="s">
        <v>83</v>
      </c>
      <c r="J27">
        <v>94110</v>
      </c>
      <c r="K27" t="s">
        <v>84</v>
      </c>
      <c r="L27" t="s">
        <v>157</v>
      </c>
      <c r="M27" t="s">
        <v>44</v>
      </c>
      <c r="N27" t="s">
        <v>152</v>
      </c>
      <c r="O27" t="s">
        <v>158</v>
      </c>
      <c r="P27">
        <v>9.68</v>
      </c>
      <c r="Q27">
        <v>1</v>
      </c>
      <c r="R27">
        <v>0</v>
      </c>
      <c r="S27">
        <v>4.6463999999999999</v>
      </c>
    </row>
    <row r="28" spans="1:19" x14ac:dyDescent="0.25">
      <c r="A28" t="s">
        <v>143</v>
      </c>
      <c r="B28" s="4">
        <v>44263</v>
      </c>
      <c r="C28" t="s">
        <v>55</v>
      </c>
      <c r="D28" t="s">
        <v>144</v>
      </c>
      <c r="E28" t="s">
        <v>145</v>
      </c>
      <c r="F28" t="s">
        <v>66</v>
      </c>
      <c r="G28" t="s">
        <v>39</v>
      </c>
      <c r="H28" t="s">
        <v>128</v>
      </c>
      <c r="I28" t="s">
        <v>83</v>
      </c>
      <c r="J28">
        <v>94110</v>
      </c>
      <c r="K28" t="s">
        <v>84</v>
      </c>
      <c r="L28" t="s">
        <v>159</v>
      </c>
      <c r="M28" t="s">
        <v>44</v>
      </c>
      <c r="N28" t="s">
        <v>160</v>
      </c>
      <c r="O28" t="s">
        <v>161</v>
      </c>
      <c r="P28">
        <v>28.349999999999998</v>
      </c>
      <c r="Q28">
        <v>9</v>
      </c>
      <c r="R28">
        <v>0</v>
      </c>
      <c r="S28">
        <v>13.608000000000001</v>
      </c>
    </row>
    <row r="29" spans="1:19" x14ac:dyDescent="0.25">
      <c r="A29" t="s">
        <v>143</v>
      </c>
      <c r="B29" s="4">
        <v>44263</v>
      </c>
      <c r="C29" t="s">
        <v>55</v>
      </c>
      <c r="D29" t="s">
        <v>144</v>
      </c>
      <c r="E29" t="s">
        <v>145</v>
      </c>
      <c r="F29" t="s">
        <v>66</v>
      </c>
      <c r="G29" t="s">
        <v>39</v>
      </c>
      <c r="H29" t="s">
        <v>128</v>
      </c>
      <c r="I29" t="s">
        <v>83</v>
      </c>
      <c r="J29">
        <v>94110</v>
      </c>
      <c r="K29" t="s">
        <v>84</v>
      </c>
      <c r="L29" t="s">
        <v>162</v>
      </c>
      <c r="M29" t="s">
        <v>44</v>
      </c>
      <c r="N29" t="s">
        <v>152</v>
      </c>
      <c r="O29" t="s">
        <v>163</v>
      </c>
      <c r="P29">
        <v>55.98</v>
      </c>
      <c r="Q29">
        <v>1</v>
      </c>
      <c r="R29">
        <v>0</v>
      </c>
      <c r="S29">
        <v>27.430199999999999</v>
      </c>
    </row>
    <row r="30" spans="1:19" x14ac:dyDescent="0.25">
      <c r="A30" t="s">
        <v>143</v>
      </c>
      <c r="B30" s="4">
        <v>44263</v>
      </c>
      <c r="C30" t="s">
        <v>55</v>
      </c>
      <c r="D30" t="s">
        <v>144</v>
      </c>
      <c r="E30" t="s">
        <v>145</v>
      </c>
      <c r="F30" t="s">
        <v>66</v>
      </c>
      <c r="G30" t="s">
        <v>39</v>
      </c>
      <c r="H30" t="s">
        <v>128</v>
      </c>
      <c r="I30" t="s">
        <v>83</v>
      </c>
      <c r="J30">
        <v>94110</v>
      </c>
      <c r="K30" t="s">
        <v>84</v>
      </c>
      <c r="L30" t="s">
        <v>164</v>
      </c>
      <c r="M30" t="s">
        <v>48</v>
      </c>
      <c r="N30" t="s">
        <v>165</v>
      </c>
      <c r="O30" t="s">
        <v>166</v>
      </c>
      <c r="P30">
        <v>1336.829</v>
      </c>
      <c r="Q30">
        <v>13</v>
      </c>
      <c r="R30">
        <v>0.15</v>
      </c>
      <c r="S30">
        <v>31.454799999999949</v>
      </c>
    </row>
    <row r="31" spans="1:19" x14ac:dyDescent="0.25">
      <c r="A31" t="s">
        <v>143</v>
      </c>
      <c r="B31" s="4">
        <v>44263</v>
      </c>
      <c r="C31" t="s">
        <v>55</v>
      </c>
      <c r="D31" t="s">
        <v>144</v>
      </c>
      <c r="E31" t="s">
        <v>145</v>
      </c>
      <c r="F31" t="s">
        <v>66</v>
      </c>
      <c r="G31" t="s">
        <v>39</v>
      </c>
      <c r="H31" t="s">
        <v>128</v>
      </c>
      <c r="I31" t="s">
        <v>83</v>
      </c>
      <c r="J31">
        <v>94110</v>
      </c>
      <c r="K31" t="s">
        <v>84</v>
      </c>
      <c r="L31" t="s">
        <v>167</v>
      </c>
      <c r="M31" t="s">
        <v>48</v>
      </c>
      <c r="N31" t="s">
        <v>168</v>
      </c>
      <c r="O31" t="s">
        <v>169</v>
      </c>
      <c r="P31">
        <v>113.56800000000001</v>
      </c>
      <c r="Q31">
        <v>2</v>
      </c>
      <c r="R31">
        <v>0.2</v>
      </c>
      <c r="S31">
        <v>-18.454800000000013</v>
      </c>
    </row>
    <row r="32" spans="1:19" x14ac:dyDescent="0.25">
      <c r="A32" t="s">
        <v>170</v>
      </c>
      <c r="B32" s="4">
        <v>44276</v>
      </c>
      <c r="C32" t="s">
        <v>55</v>
      </c>
      <c r="D32" t="s">
        <v>171</v>
      </c>
      <c r="E32" t="s">
        <v>172</v>
      </c>
      <c r="F32" t="s">
        <v>66</v>
      </c>
      <c r="G32" t="s">
        <v>39</v>
      </c>
      <c r="H32" t="s">
        <v>173</v>
      </c>
      <c r="I32" t="s">
        <v>83</v>
      </c>
      <c r="J32">
        <v>90049</v>
      </c>
      <c r="K32" t="s">
        <v>84</v>
      </c>
      <c r="L32" t="s">
        <v>174</v>
      </c>
      <c r="M32" t="s">
        <v>44</v>
      </c>
      <c r="N32" t="s">
        <v>175</v>
      </c>
      <c r="O32" t="s">
        <v>176</v>
      </c>
      <c r="P32">
        <v>6.63</v>
      </c>
      <c r="Q32">
        <v>3</v>
      </c>
      <c r="R32">
        <v>0</v>
      </c>
      <c r="S32">
        <v>1.7901</v>
      </c>
    </row>
    <row r="33" spans="1:19" x14ac:dyDescent="0.25">
      <c r="A33" t="s">
        <v>170</v>
      </c>
      <c r="B33" s="4">
        <v>44276</v>
      </c>
      <c r="C33" t="s">
        <v>55</v>
      </c>
      <c r="D33" t="s">
        <v>171</v>
      </c>
      <c r="E33" t="s">
        <v>172</v>
      </c>
      <c r="F33" t="s">
        <v>66</v>
      </c>
      <c r="G33" t="s">
        <v>39</v>
      </c>
      <c r="H33" t="s">
        <v>173</v>
      </c>
      <c r="I33" t="s">
        <v>83</v>
      </c>
      <c r="J33">
        <v>90049</v>
      </c>
      <c r="K33" t="s">
        <v>84</v>
      </c>
      <c r="L33" t="s">
        <v>177</v>
      </c>
      <c r="M33" t="s">
        <v>44</v>
      </c>
      <c r="N33" t="s">
        <v>175</v>
      </c>
      <c r="O33" t="s">
        <v>178</v>
      </c>
      <c r="P33">
        <v>5.88</v>
      </c>
      <c r="Q33">
        <v>2</v>
      </c>
      <c r="R33">
        <v>0</v>
      </c>
      <c r="S33">
        <v>1.7051999999999996</v>
      </c>
    </row>
    <row r="34" spans="1:19" x14ac:dyDescent="0.25">
      <c r="A34" t="s">
        <v>179</v>
      </c>
      <c r="B34" s="4">
        <v>44262</v>
      </c>
      <c r="C34" t="s">
        <v>35</v>
      </c>
      <c r="D34" t="s">
        <v>180</v>
      </c>
      <c r="E34" t="s">
        <v>181</v>
      </c>
      <c r="F34" t="s">
        <v>66</v>
      </c>
      <c r="G34" t="s">
        <v>39</v>
      </c>
      <c r="H34" t="s">
        <v>173</v>
      </c>
      <c r="I34" t="s">
        <v>83</v>
      </c>
      <c r="J34">
        <v>90008</v>
      </c>
      <c r="K34" t="s">
        <v>84</v>
      </c>
      <c r="L34" t="s">
        <v>182</v>
      </c>
      <c r="M34" t="s">
        <v>86</v>
      </c>
      <c r="N34" t="s">
        <v>87</v>
      </c>
      <c r="O34" t="s">
        <v>183</v>
      </c>
      <c r="P34">
        <v>374.37600000000003</v>
      </c>
      <c r="Q34">
        <v>3</v>
      </c>
      <c r="R34">
        <v>0.2</v>
      </c>
      <c r="S34">
        <v>46.796999999999983</v>
      </c>
    </row>
    <row r="35" spans="1:19" x14ac:dyDescent="0.25">
      <c r="A35" t="s">
        <v>184</v>
      </c>
      <c r="B35" s="4">
        <v>44283</v>
      </c>
      <c r="C35" t="s">
        <v>55</v>
      </c>
      <c r="D35" t="s">
        <v>185</v>
      </c>
      <c r="E35" t="s">
        <v>186</v>
      </c>
      <c r="F35" t="s">
        <v>66</v>
      </c>
      <c r="G35" t="s">
        <v>39</v>
      </c>
      <c r="H35" t="s">
        <v>58</v>
      </c>
      <c r="I35" t="s">
        <v>59</v>
      </c>
      <c r="J35">
        <v>10024</v>
      </c>
      <c r="K35" t="s">
        <v>60</v>
      </c>
      <c r="L35" t="s">
        <v>187</v>
      </c>
      <c r="M35" t="s">
        <v>44</v>
      </c>
      <c r="N35" t="s">
        <v>160</v>
      </c>
      <c r="O35" t="s">
        <v>188</v>
      </c>
      <c r="P35">
        <v>72.45</v>
      </c>
      <c r="Q35">
        <v>7</v>
      </c>
      <c r="R35">
        <v>0</v>
      </c>
      <c r="S35">
        <v>34.775999999999996</v>
      </c>
    </row>
    <row r="36" spans="1:19" x14ac:dyDescent="0.25">
      <c r="A36" t="s">
        <v>184</v>
      </c>
      <c r="B36" s="4">
        <v>44283</v>
      </c>
      <c r="C36" t="s">
        <v>55</v>
      </c>
      <c r="D36" t="s">
        <v>185</v>
      </c>
      <c r="E36" t="s">
        <v>186</v>
      </c>
      <c r="F36" t="s">
        <v>66</v>
      </c>
      <c r="G36" t="s">
        <v>39</v>
      </c>
      <c r="H36" t="s">
        <v>58</v>
      </c>
      <c r="I36" t="s">
        <v>59</v>
      </c>
      <c r="J36">
        <v>10024</v>
      </c>
      <c r="K36" t="s">
        <v>60</v>
      </c>
      <c r="L36" t="s">
        <v>189</v>
      </c>
      <c r="M36" t="s">
        <v>44</v>
      </c>
      <c r="N36" t="s">
        <v>101</v>
      </c>
      <c r="O36" t="s">
        <v>190</v>
      </c>
      <c r="P36">
        <v>13.96</v>
      </c>
      <c r="Q36">
        <v>4</v>
      </c>
      <c r="R36">
        <v>0</v>
      </c>
      <c r="S36">
        <v>6.4215999999999998</v>
      </c>
    </row>
    <row r="37" spans="1:19" x14ac:dyDescent="0.25">
      <c r="A37" t="s">
        <v>184</v>
      </c>
      <c r="B37" s="4">
        <v>44283</v>
      </c>
      <c r="C37" t="s">
        <v>55</v>
      </c>
      <c r="D37" t="s">
        <v>185</v>
      </c>
      <c r="E37" t="s">
        <v>186</v>
      </c>
      <c r="F37" t="s">
        <v>66</v>
      </c>
      <c r="G37" t="s">
        <v>39</v>
      </c>
      <c r="H37" t="s">
        <v>58</v>
      </c>
      <c r="I37" t="s">
        <v>59</v>
      </c>
      <c r="J37">
        <v>10024</v>
      </c>
      <c r="K37" t="s">
        <v>60</v>
      </c>
      <c r="L37" t="s">
        <v>191</v>
      </c>
      <c r="M37" t="s">
        <v>44</v>
      </c>
      <c r="N37" t="s">
        <v>45</v>
      </c>
      <c r="O37" t="s">
        <v>192</v>
      </c>
      <c r="P37">
        <v>33.264000000000003</v>
      </c>
      <c r="Q37">
        <v>7</v>
      </c>
      <c r="R37">
        <v>0.2</v>
      </c>
      <c r="S37">
        <v>11.226599999999999</v>
      </c>
    </row>
    <row r="38" spans="1:19" x14ac:dyDescent="0.25">
      <c r="A38" t="s">
        <v>184</v>
      </c>
      <c r="B38" s="4">
        <v>44283</v>
      </c>
      <c r="C38" t="s">
        <v>55</v>
      </c>
      <c r="D38" t="s">
        <v>185</v>
      </c>
      <c r="E38" t="s">
        <v>186</v>
      </c>
      <c r="F38" t="s">
        <v>66</v>
      </c>
      <c r="G38" t="s">
        <v>39</v>
      </c>
      <c r="H38" t="s">
        <v>58</v>
      </c>
      <c r="I38" t="s">
        <v>59</v>
      </c>
      <c r="J38">
        <v>10024</v>
      </c>
      <c r="K38" t="s">
        <v>60</v>
      </c>
      <c r="L38" t="s">
        <v>193</v>
      </c>
      <c r="M38" t="s">
        <v>86</v>
      </c>
      <c r="N38" t="s">
        <v>87</v>
      </c>
      <c r="O38" t="s">
        <v>194</v>
      </c>
      <c r="P38">
        <v>14.850000000000001</v>
      </c>
      <c r="Q38">
        <v>3</v>
      </c>
      <c r="R38">
        <v>0</v>
      </c>
      <c r="S38">
        <v>4.0095000000000001</v>
      </c>
    </row>
    <row r="39" spans="1:19" x14ac:dyDescent="0.25">
      <c r="A39" t="s">
        <v>195</v>
      </c>
      <c r="B39" s="4">
        <v>44256</v>
      </c>
      <c r="C39" t="s">
        <v>55</v>
      </c>
      <c r="D39" t="s">
        <v>196</v>
      </c>
      <c r="E39" t="s">
        <v>197</v>
      </c>
      <c r="F39" t="s">
        <v>66</v>
      </c>
      <c r="G39" t="s">
        <v>39</v>
      </c>
      <c r="H39" t="s">
        <v>198</v>
      </c>
      <c r="I39" t="s">
        <v>199</v>
      </c>
      <c r="J39">
        <v>80219</v>
      </c>
      <c r="K39" t="s">
        <v>84</v>
      </c>
      <c r="L39" t="s">
        <v>200</v>
      </c>
      <c r="M39" t="s">
        <v>86</v>
      </c>
      <c r="N39" t="s">
        <v>87</v>
      </c>
      <c r="O39" t="s">
        <v>201</v>
      </c>
      <c r="P39">
        <v>470.37600000000009</v>
      </c>
      <c r="Q39">
        <v>3</v>
      </c>
      <c r="R39">
        <v>0.2</v>
      </c>
      <c r="S39">
        <v>52.917299999999955</v>
      </c>
    </row>
    <row r="40" spans="1:19" x14ac:dyDescent="0.25">
      <c r="A40" t="s">
        <v>195</v>
      </c>
      <c r="B40" s="4">
        <v>44256</v>
      </c>
      <c r="C40" t="s">
        <v>55</v>
      </c>
      <c r="D40" t="s">
        <v>196</v>
      </c>
      <c r="E40" t="s">
        <v>197</v>
      </c>
      <c r="F40" t="s">
        <v>66</v>
      </c>
      <c r="G40" t="s">
        <v>39</v>
      </c>
      <c r="H40" t="s">
        <v>198</v>
      </c>
      <c r="I40" t="s">
        <v>199</v>
      </c>
      <c r="J40">
        <v>80219</v>
      </c>
      <c r="K40" t="s">
        <v>84</v>
      </c>
      <c r="L40" t="s">
        <v>202</v>
      </c>
      <c r="M40" t="s">
        <v>86</v>
      </c>
      <c r="N40" t="s">
        <v>87</v>
      </c>
      <c r="O40" t="s">
        <v>203</v>
      </c>
      <c r="P40">
        <v>105.584</v>
      </c>
      <c r="Q40">
        <v>2</v>
      </c>
      <c r="R40">
        <v>0.2</v>
      </c>
      <c r="S40">
        <v>9.2386000000000053</v>
      </c>
    </row>
    <row r="41" spans="1:19" x14ac:dyDescent="0.25">
      <c r="A41" t="s">
        <v>195</v>
      </c>
      <c r="B41" s="4">
        <v>44256</v>
      </c>
      <c r="C41" t="s">
        <v>55</v>
      </c>
      <c r="D41" t="s">
        <v>196</v>
      </c>
      <c r="E41" t="s">
        <v>197</v>
      </c>
      <c r="F41" t="s">
        <v>66</v>
      </c>
      <c r="G41" t="s">
        <v>39</v>
      </c>
      <c r="H41" t="s">
        <v>198</v>
      </c>
      <c r="I41" t="s">
        <v>199</v>
      </c>
      <c r="J41">
        <v>80219</v>
      </c>
      <c r="K41" t="s">
        <v>84</v>
      </c>
      <c r="L41" t="s">
        <v>204</v>
      </c>
      <c r="M41" t="s">
        <v>44</v>
      </c>
      <c r="N41" t="s">
        <v>70</v>
      </c>
      <c r="O41" t="s">
        <v>205</v>
      </c>
      <c r="P41">
        <v>31.152000000000001</v>
      </c>
      <c r="Q41">
        <v>3</v>
      </c>
      <c r="R41">
        <v>0.2</v>
      </c>
      <c r="S41">
        <v>3.5045999999999964</v>
      </c>
    </row>
    <row r="42" spans="1:19" x14ac:dyDescent="0.25">
      <c r="A42" t="s">
        <v>195</v>
      </c>
      <c r="B42" s="4">
        <v>44256</v>
      </c>
      <c r="C42" t="s">
        <v>55</v>
      </c>
      <c r="D42" t="s">
        <v>196</v>
      </c>
      <c r="E42" t="s">
        <v>197</v>
      </c>
      <c r="F42" t="s">
        <v>66</v>
      </c>
      <c r="G42" t="s">
        <v>39</v>
      </c>
      <c r="H42" t="s">
        <v>198</v>
      </c>
      <c r="I42" t="s">
        <v>199</v>
      </c>
      <c r="J42">
        <v>80219</v>
      </c>
      <c r="K42" t="s">
        <v>84</v>
      </c>
      <c r="L42" t="s">
        <v>206</v>
      </c>
      <c r="M42" t="s">
        <v>44</v>
      </c>
      <c r="N42" t="s">
        <v>45</v>
      </c>
      <c r="O42" t="s">
        <v>207</v>
      </c>
      <c r="P42">
        <v>6.7830000000000004</v>
      </c>
      <c r="Q42">
        <v>7</v>
      </c>
      <c r="R42">
        <v>0.7</v>
      </c>
      <c r="S42">
        <v>-4.7480999999999973</v>
      </c>
    </row>
    <row r="43" spans="1:19" x14ac:dyDescent="0.25">
      <c r="A43" t="s">
        <v>195</v>
      </c>
      <c r="B43" s="4">
        <v>44256</v>
      </c>
      <c r="C43" t="s">
        <v>55</v>
      </c>
      <c r="D43" t="s">
        <v>196</v>
      </c>
      <c r="E43" t="s">
        <v>197</v>
      </c>
      <c r="F43" t="s">
        <v>66</v>
      </c>
      <c r="G43" t="s">
        <v>39</v>
      </c>
      <c r="H43" t="s">
        <v>198</v>
      </c>
      <c r="I43" t="s">
        <v>199</v>
      </c>
      <c r="J43">
        <v>80219</v>
      </c>
      <c r="K43" t="s">
        <v>84</v>
      </c>
      <c r="L43" t="s">
        <v>208</v>
      </c>
      <c r="M43" t="s">
        <v>86</v>
      </c>
      <c r="N43" t="s">
        <v>87</v>
      </c>
      <c r="O43" t="s">
        <v>209</v>
      </c>
      <c r="P43">
        <v>406.36799999999999</v>
      </c>
      <c r="Q43">
        <v>4</v>
      </c>
      <c r="R43">
        <v>0.2</v>
      </c>
      <c r="S43">
        <v>30.477599999999981</v>
      </c>
    </row>
    <row r="44" spans="1:19" x14ac:dyDescent="0.25">
      <c r="A44" t="s">
        <v>210</v>
      </c>
      <c r="B44" s="4">
        <v>44272</v>
      </c>
      <c r="C44" t="s">
        <v>55</v>
      </c>
      <c r="D44" t="s">
        <v>74</v>
      </c>
      <c r="E44" t="s">
        <v>75</v>
      </c>
      <c r="F44" t="s">
        <v>66</v>
      </c>
      <c r="G44" t="s">
        <v>39</v>
      </c>
      <c r="H44" t="s">
        <v>128</v>
      </c>
      <c r="I44" t="s">
        <v>83</v>
      </c>
      <c r="J44">
        <v>94122</v>
      </c>
      <c r="K44" t="s">
        <v>84</v>
      </c>
      <c r="L44" t="s">
        <v>211</v>
      </c>
      <c r="M44" t="s">
        <v>44</v>
      </c>
      <c r="N44" t="s">
        <v>45</v>
      </c>
      <c r="O44" t="s">
        <v>212</v>
      </c>
      <c r="P44">
        <v>15.24</v>
      </c>
      <c r="Q44">
        <v>5</v>
      </c>
      <c r="R44">
        <v>0.2</v>
      </c>
      <c r="S44">
        <v>5.1434999999999977</v>
      </c>
    </row>
    <row r="45" spans="1:19" x14ac:dyDescent="0.25">
      <c r="A45" t="s">
        <v>210</v>
      </c>
      <c r="B45" s="4">
        <v>44272</v>
      </c>
      <c r="C45" t="s">
        <v>55</v>
      </c>
      <c r="D45" t="s">
        <v>74</v>
      </c>
      <c r="E45" t="s">
        <v>75</v>
      </c>
      <c r="F45" t="s">
        <v>66</v>
      </c>
      <c r="G45" t="s">
        <v>39</v>
      </c>
      <c r="H45" t="s">
        <v>128</v>
      </c>
      <c r="I45" t="s">
        <v>83</v>
      </c>
      <c r="J45">
        <v>94122</v>
      </c>
      <c r="K45" t="s">
        <v>84</v>
      </c>
      <c r="L45" t="s">
        <v>213</v>
      </c>
      <c r="M45" t="s">
        <v>44</v>
      </c>
      <c r="N45" t="s">
        <v>152</v>
      </c>
      <c r="O45" t="s">
        <v>214</v>
      </c>
      <c r="P45">
        <v>13.23</v>
      </c>
      <c r="Q45">
        <v>3</v>
      </c>
      <c r="R45">
        <v>0</v>
      </c>
      <c r="S45">
        <v>6.0857999999999999</v>
      </c>
    </row>
    <row r="46" spans="1:19" x14ac:dyDescent="0.25">
      <c r="A46" t="s">
        <v>215</v>
      </c>
      <c r="B46" s="4">
        <v>44285</v>
      </c>
      <c r="C46" t="s">
        <v>55</v>
      </c>
      <c r="D46" t="s">
        <v>216</v>
      </c>
      <c r="E46" t="s">
        <v>217</v>
      </c>
      <c r="F46" t="s">
        <v>218</v>
      </c>
      <c r="G46" t="s">
        <v>39</v>
      </c>
      <c r="H46" t="s">
        <v>219</v>
      </c>
      <c r="I46" t="s">
        <v>220</v>
      </c>
      <c r="J46">
        <v>47201</v>
      </c>
      <c r="K46" t="s">
        <v>42</v>
      </c>
      <c r="L46" t="s">
        <v>221</v>
      </c>
      <c r="M46" t="s">
        <v>44</v>
      </c>
      <c r="N46" t="s">
        <v>70</v>
      </c>
      <c r="O46" t="s">
        <v>222</v>
      </c>
      <c r="P46">
        <v>209.3</v>
      </c>
      <c r="Q46">
        <v>2</v>
      </c>
      <c r="R46">
        <v>0</v>
      </c>
      <c r="S46">
        <v>56.510999999999996</v>
      </c>
    </row>
    <row r="47" spans="1:19" x14ac:dyDescent="0.25">
      <c r="A47" t="s">
        <v>223</v>
      </c>
      <c r="B47" s="4">
        <v>44260</v>
      </c>
      <c r="C47" t="s">
        <v>35</v>
      </c>
      <c r="D47" t="s">
        <v>224</v>
      </c>
      <c r="E47" t="s">
        <v>225</v>
      </c>
      <c r="F47" t="s">
        <v>66</v>
      </c>
      <c r="G47" t="s">
        <v>39</v>
      </c>
      <c r="H47" t="s">
        <v>219</v>
      </c>
      <c r="I47" t="s">
        <v>220</v>
      </c>
      <c r="J47">
        <v>47201</v>
      </c>
      <c r="K47" t="s">
        <v>42</v>
      </c>
      <c r="L47" t="s">
        <v>226</v>
      </c>
      <c r="M47" t="s">
        <v>44</v>
      </c>
      <c r="N47" t="s">
        <v>70</v>
      </c>
      <c r="O47" t="s">
        <v>227</v>
      </c>
      <c r="P47">
        <v>61.44</v>
      </c>
      <c r="Q47">
        <v>3</v>
      </c>
      <c r="R47">
        <v>0</v>
      </c>
      <c r="S47">
        <v>16.588799999999999</v>
      </c>
    </row>
    <row r="48" spans="1:19" x14ac:dyDescent="0.25">
      <c r="A48" t="s">
        <v>223</v>
      </c>
      <c r="B48" s="4">
        <v>44260</v>
      </c>
      <c r="C48" t="s">
        <v>35</v>
      </c>
      <c r="D48" t="s">
        <v>224</v>
      </c>
      <c r="E48" t="s">
        <v>225</v>
      </c>
      <c r="F48" t="s">
        <v>66</v>
      </c>
      <c r="G48" t="s">
        <v>39</v>
      </c>
      <c r="H48" t="s">
        <v>219</v>
      </c>
      <c r="I48" t="s">
        <v>220</v>
      </c>
      <c r="J48">
        <v>47201</v>
      </c>
      <c r="K48" t="s">
        <v>42</v>
      </c>
      <c r="L48" t="s">
        <v>228</v>
      </c>
      <c r="M48" t="s">
        <v>44</v>
      </c>
      <c r="N48" t="s">
        <v>152</v>
      </c>
      <c r="O48" t="s">
        <v>229</v>
      </c>
      <c r="P48">
        <v>38.9</v>
      </c>
      <c r="Q48">
        <v>5</v>
      </c>
      <c r="R48">
        <v>0</v>
      </c>
      <c r="S48">
        <v>17.504999999999995</v>
      </c>
    </row>
    <row r="49" spans="1:19" x14ac:dyDescent="0.25">
      <c r="A49" t="s">
        <v>223</v>
      </c>
      <c r="B49" s="4">
        <v>44260</v>
      </c>
      <c r="C49" t="s">
        <v>35</v>
      </c>
      <c r="D49" t="s">
        <v>224</v>
      </c>
      <c r="E49" t="s">
        <v>225</v>
      </c>
      <c r="F49" t="s">
        <v>66</v>
      </c>
      <c r="G49" t="s">
        <v>39</v>
      </c>
      <c r="H49" t="s">
        <v>219</v>
      </c>
      <c r="I49" t="s">
        <v>220</v>
      </c>
      <c r="J49">
        <v>47201</v>
      </c>
      <c r="K49" t="s">
        <v>42</v>
      </c>
      <c r="L49" t="s">
        <v>230</v>
      </c>
      <c r="M49" t="s">
        <v>86</v>
      </c>
      <c r="N49" t="s">
        <v>109</v>
      </c>
      <c r="O49" t="s">
        <v>231</v>
      </c>
      <c r="P49">
        <v>99.390000000000015</v>
      </c>
      <c r="Q49">
        <v>3</v>
      </c>
      <c r="R49">
        <v>0</v>
      </c>
      <c r="S49">
        <v>40.749900000000004</v>
      </c>
    </row>
    <row r="50" spans="1:19" x14ac:dyDescent="0.25">
      <c r="A50" t="s">
        <v>232</v>
      </c>
      <c r="B50" s="4">
        <v>44280</v>
      </c>
      <c r="C50" t="s">
        <v>55</v>
      </c>
      <c r="D50" t="s">
        <v>233</v>
      </c>
      <c r="E50" t="s">
        <v>234</v>
      </c>
      <c r="F50" t="s">
        <v>66</v>
      </c>
      <c r="G50" t="s">
        <v>39</v>
      </c>
      <c r="H50" t="s">
        <v>58</v>
      </c>
      <c r="I50" t="s">
        <v>59</v>
      </c>
      <c r="J50">
        <v>10035</v>
      </c>
      <c r="K50" t="s">
        <v>60</v>
      </c>
      <c r="L50" t="s">
        <v>235</v>
      </c>
      <c r="M50" t="s">
        <v>48</v>
      </c>
      <c r="N50" t="s">
        <v>165</v>
      </c>
      <c r="O50" t="s">
        <v>236</v>
      </c>
      <c r="P50">
        <v>191.98400000000001</v>
      </c>
      <c r="Q50">
        <v>2</v>
      </c>
      <c r="R50">
        <v>0.2</v>
      </c>
      <c r="S50">
        <v>4.7995999999999768</v>
      </c>
    </row>
    <row r="51" spans="1:19" x14ac:dyDescent="0.25">
      <c r="A51" t="s">
        <v>237</v>
      </c>
      <c r="B51" s="4">
        <v>44278</v>
      </c>
      <c r="C51" t="s">
        <v>238</v>
      </c>
      <c r="D51" t="s">
        <v>239</v>
      </c>
      <c r="E51" t="s">
        <v>240</v>
      </c>
      <c r="F51" t="s">
        <v>66</v>
      </c>
      <c r="G51" t="s">
        <v>39</v>
      </c>
      <c r="H51" t="s">
        <v>128</v>
      </c>
      <c r="I51" t="s">
        <v>83</v>
      </c>
      <c r="J51">
        <v>94109</v>
      </c>
      <c r="K51" t="s">
        <v>84</v>
      </c>
      <c r="L51" t="s">
        <v>241</v>
      </c>
      <c r="M51" t="s">
        <v>44</v>
      </c>
      <c r="N51" t="s">
        <v>175</v>
      </c>
      <c r="O51" t="s">
        <v>242</v>
      </c>
      <c r="P51">
        <v>13.48</v>
      </c>
      <c r="Q51">
        <v>4</v>
      </c>
      <c r="R51">
        <v>0</v>
      </c>
      <c r="S51">
        <v>5.9312000000000014</v>
      </c>
    </row>
    <row r="52" spans="1:19" x14ac:dyDescent="0.25">
      <c r="A52" t="s">
        <v>243</v>
      </c>
      <c r="B52" s="4">
        <v>44285</v>
      </c>
      <c r="C52" t="s">
        <v>55</v>
      </c>
      <c r="D52" t="s">
        <v>244</v>
      </c>
      <c r="E52" t="s">
        <v>245</v>
      </c>
      <c r="F52" t="s">
        <v>66</v>
      </c>
      <c r="G52" t="s">
        <v>39</v>
      </c>
      <c r="H52" t="s">
        <v>58</v>
      </c>
      <c r="I52" t="s">
        <v>59</v>
      </c>
      <c r="J52">
        <v>10009</v>
      </c>
      <c r="K52" t="s">
        <v>60</v>
      </c>
      <c r="L52" t="s">
        <v>246</v>
      </c>
      <c r="M52" t="s">
        <v>48</v>
      </c>
      <c r="N52" t="s">
        <v>165</v>
      </c>
      <c r="O52" t="s">
        <v>247</v>
      </c>
      <c r="P52">
        <v>323.13600000000002</v>
      </c>
      <c r="Q52">
        <v>4</v>
      </c>
      <c r="R52">
        <v>0.2</v>
      </c>
      <c r="S52">
        <v>12.117599999999968</v>
      </c>
    </row>
    <row r="53" spans="1:19" x14ac:dyDescent="0.25">
      <c r="A53" t="s">
        <v>243</v>
      </c>
      <c r="B53" s="4">
        <v>44285</v>
      </c>
      <c r="C53" t="s">
        <v>55</v>
      </c>
      <c r="D53" t="s">
        <v>244</v>
      </c>
      <c r="E53" t="s">
        <v>245</v>
      </c>
      <c r="F53" t="s">
        <v>66</v>
      </c>
      <c r="G53" t="s">
        <v>39</v>
      </c>
      <c r="H53" t="s">
        <v>58</v>
      </c>
      <c r="I53" t="s">
        <v>59</v>
      </c>
      <c r="J53">
        <v>10009</v>
      </c>
      <c r="K53" t="s">
        <v>60</v>
      </c>
      <c r="L53" t="s">
        <v>248</v>
      </c>
      <c r="M53" t="s">
        <v>86</v>
      </c>
      <c r="N53" t="s">
        <v>87</v>
      </c>
      <c r="O53" t="s">
        <v>249</v>
      </c>
      <c r="P53">
        <v>90.93</v>
      </c>
      <c r="Q53">
        <v>7</v>
      </c>
      <c r="R53">
        <v>0</v>
      </c>
      <c r="S53">
        <v>2.7278999999999964</v>
      </c>
    </row>
    <row r="54" spans="1:19" x14ac:dyDescent="0.25">
      <c r="A54" t="s">
        <v>243</v>
      </c>
      <c r="B54" s="4">
        <v>44285</v>
      </c>
      <c r="C54" t="s">
        <v>55</v>
      </c>
      <c r="D54" t="s">
        <v>244</v>
      </c>
      <c r="E54" t="s">
        <v>245</v>
      </c>
      <c r="F54" t="s">
        <v>66</v>
      </c>
      <c r="G54" t="s">
        <v>39</v>
      </c>
      <c r="H54" t="s">
        <v>58</v>
      </c>
      <c r="I54" t="s">
        <v>59</v>
      </c>
      <c r="J54">
        <v>10009</v>
      </c>
      <c r="K54" t="s">
        <v>60</v>
      </c>
      <c r="L54" t="s">
        <v>250</v>
      </c>
      <c r="M54" t="s">
        <v>44</v>
      </c>
      <c r="N54" t="s">
        <v>45</v>
      </c>
      <c r="O54" t="s">
        <v>251</v>
      </c>
      <c r="P54">
        <v>52.775999999999996</v>
      </c>
      <c r="Q54">
        <v>3</v>
      </c>
      <c r="R54">
        <v>0.2</v>
      </c>
      <c r="S54">
        <v>19.791</v>
      </c>
    </row>
    <row r="55" spans="1:19" x14ac:dyDescent="0.25">
      <c r="A55" t="s">
        <v>252</v>
      </c>
      <c r="B55" s="4">
        <v>44283</v>
      </c>
      <c r="C55" t="s">
        <v>55</v>
      </c>
      <c r="D55" t="s">
        <v>253</v>
      </c>
      <c r="E55" t="s">
        <v>254</v>
      </c>
      <c r="F55" t="s">
        <v>66</v>
      </c>
      <c r="G55" t="s">
        <v>39</v>
      </c>
      <c r="H55" t="s">
        <v>255</v>
      </c>
      <c r="I55" t="s">
        <v>41</v>
      </c>
      <c r="J55">
        <v>78664</v>
      </c>
      <c r="K55" t="s">
        <v>42</v>
      </c>
      <c r="L55" t="s">
        <v>256</v>
      </c>
      <c r="M55" t="s">
        <v>44</v>
      </c>
      <c r="N55" t="s">
        <v>175</v>
      </c>
      <c r="O55" t="s">
        <v>257</v>
      </c>
      <c r="P55">
        <v>27.168000000000003</v>
      </c>
      <c r="Q55">
        <v>2</v>
      </c>
      <c r="R55">
        <v>0.2</v>
      </c>
      <c r="S55">
        <v>2.7168000000000001</v>
      </c>
    </row>
    <row r="56" spans="1:19" x14ac:dyDescent="0.25">
      <c r="A56" t="s">
        <v>252</v>
      </c>
      <c r="B56" s="4">
        <v>44283</v>
      </c>
      <c r="C56" t="s">
        <v>55</v>
      </c>
      <c r="D56" t="s">
        <v>253</v>
      </c>
      <c r="E56" t="s">
        <v>254</v>
      </c>
      <c r="F56" t="s">
        <v>66</v>
      </c>
      <c r="G56" t="s">
        <v>39</v>
      </c>
      <c r="H56" t="s">
        <v>255</v>
      </c>
      <c r="I56" t="s">
        <v>41</v>
      </c>
      <c r="J56">
        <v>78664</v>
      </c>
      <c r="K56" t="s">
        <v>42</v>
      </c>
      <c r="L56" t="s">
        <v>258</v>
      </c>
      <c r="M56" t="s">
        <v>48</v>
      </c>
      <c r="N56" t="s">
        <v>165</v>
      </c>
      <c r="O56" t="s">
        <v>259</v>
      </c>
      <c r="P56">
        <v>78.852799999999988</v>
      </c>
      <c r="Q56">
        <v>2</v>
      </c>
      <c r="R56">
        <v>0.32</v>
      </c>
      <c r="S56">
        <v>-11.595999999999997</v>
      </c>
    </row>
    <row r="57" spans="1:19" x14ac:dyDescent="0.25">
      <c r="A57" t="s">
        <v>260</v>
      </c>
      <c r="B57" s="4">
        <v>44281</v>
      </c>
      <c r="C57" t="s">
        <v>55</v>
      </c>
      <c r="D57" t="s">
        <v>261</v>
      </c>
      <c r="E57" t="s">
        <v>262</v>
      </c>
      <c r="F57" t="s">
        <v>66</v>
      </c>
      <c r="G57" t="s">
        <v>39</v>
      </c>
      <c r="H57" t="s">
        <v>263</v>
      </c>
      <c r="I57" t="s">
        <v>264</v>
      </c>
      <c r="J57">
        <v>52601</v>
      </c>
      <c r="K57" t="s">
        <v>42</v>
      </c>
      <c r="L57" t="s">
        <v>265</v>
      </c>
      <c r="M57" t="s">
        <v>44</v>
      </c>
      <c r="N57" t="s">
        <v>152</v>
      </c>
      <c r="O57" t="s">
        <v>266</v>
      </c>
      <c r="P57">
        <v>44.75</v>
      </c>
      <c r="Q57">
        <v>5</v>
      </c>
      <c r="R57">
        <v>0</v>
      </c>
      <c r="S57">
        <v>20.584999999999994</v>
      </c>
    </row>
    <row r="58" spans="1:19" x14ac:dyDescent="0.25">
      <c r="A58" t="s">
        <v>267</v>
      </c>
      <c r="B58" s="4">
        <v>44272</v>
      </c>
      <c r="C58" t="s">
        <v>35</v>
      </c>
      <c r="D58" t="s">
        <v>268</v>
      </c>
      <c r="E58" t="s">
        <v>269</v>
      </c>
      <c r="F58" t="s">
        <v>218</v>
      </c>
      <c r="G58" t="s">
        <v>39</v>
      </c>
      <c r="H58" t="s">
        <v>173</v>
      </c>
      <c r="I58" t="s">
        <v>83</v>
      </c>
      <c r="J58">
        <v>90045</v>
      </c>
      <c r="K58" t="s">
        <v>84</v>
      </c>
      <c r="L58" t="s">
        <v>270</v>
      </c>
      <c r="M58" t="s">
        <v>44</v>
      </c>
      <c r="N58" t="s">
        <v>45</v>
      </c>
      <c r="O58" t="s">
        <v>271</v>
      </c>
      <c r="P58">
        <v>11.808</v>
      </c>
      <c r="Q58">
        <v>2</v>
      </c>
      <c r="R58">
        <v>0.2</v>
      </c>
      <c r="S58">
        <v>4.2804000000000002</v>
      </c>
    </row>
    <row r="59" spans="1:19" x14ac:dyDescent="0.25">
      <c r="A59" t="s">
        <v>272</v>
      </c>
      <c r="B59" s="4">
        <v>44265</v>
      </c>
      <c r="C59" t="s">
        <v>55</v>
      </c>
      <c r="D59" t="s">
        <v>273</v>
      </c>
      <c r="E59" t="s">
        <v>274</v>
      </c>
      <c r="F59" t="s">
        <v>38</v>
      </c>
      <c r="G59" t="s">
        <v>39</v>
      </c>
      <c r="H59" t="s">
        <v>275</v>
      </c>
      <c r="I59" t="s">
        <v>83</v>
      </c>
      <c r="J59">
        <v>92037</v>
      </c>
      <c r="K59" t="s">
        <v>84</v>
      </c>
      <c r="L59" t="s">
        <v>276</v>
      </c>
      <c r="M59" t="s">
        <v>44</v>
      </c>
      <c r="N59" t="s">
        <v>45</v>
      </c>
      <c r="O59" t="s">
        <v>277</v>
      </c>
      <c r="P59">
        <v>19.936000000000003</v>
      </c>
      <c r="Q59">
        <v>4</v>
      </c>
      <c r="R59">
        <v>0.2</v>
      </c>
      <c r="S59">
        <v>7.2267999999999999</v>
      </c>
    </row>
    <row r="60" spans="1:19" x14ac:dyDescent="0.25">
      <c r="A60" t="s">
        <v>272</v>
      </c>
      <c r="B60" s="4">
        <v>44265</v>
      </c>
      <c r="C60" t="s">
        <v>55</v>
      </c>
      <c r="D60" t="s">
        <v>273</v>
      </c>
      <c r="E60" t="s">
        <v>274</v>
      </c>
      <c r="F60" t="s">
        <v>38</v>
      </c>
      <c r="G60" t="s">
        <v>39</v>
      </c>
      <c r="H60" t="s">
        <v>275</v>
      </c>
      <c r="I60" t="s">
        <v>83</v>
      </c>
      <c r="J60">
        <v>92037</v>
      </c>
      <c r="K60" t="s">
        <v>84</v>
      </c>
      <c r="L60" t="s">
        <v>278</v>
      </c>
      <c r="M60" t="s">
        <v>44</v>
      </c>
      <c r="N60" t="s">
        <v>45</v>
      </c>
      <c r="O60" t="s">
        <v>279</v>
      </c>
      <c r="P60">
        <v>65.567999999999998</v>
      </c>
      <c r="Q60">
        <v>2</v>
      </c>
      <c r="R60">
        <v>0.2</v>
      </c>
      <c r="S60">
        <v>22.948799999999995</v>
      </c>
    </row>
    <row r="61" spans="1:19" x14ac:dyDescent="0.25">
      <c r="A61" t="s">
        <v>280</v>
      </c>
      <c r="B61" s="4">
        <v>44273</v>
      </c>
      <c r="C61" t="s">
        <v>73</v>
      </c>
      <c r="D61" t="s">
        <v>281</v>
      </c>
      <c r="E61" t="s">
        <v>282</v>
      </c>
      <c r="F61" t="s">
        <v>66</v>
      </c>
      <c r="G61" t="s">
        <v>39</v>
      </c>
      <c r="H61" t="s">
        <v>283</v>
      </c>
      <c r="I61" t="s">
        <v>83</v>
      </c>
      <c r="J61">
        <v>92024</v>
      </c>
      <c r="K61" t="s">
        <v>84</v>
      </c>
      <c r="L61" t="s">
        <v>284</v>
      </c>
      <c r="M61" t="s">
        <v>44</v>
      </c>
      <c r="N61" t="s">
        <v>45</v>
      </c>
      <c r="O61" t="s">
        <v>285</v>
      </c>
      <c r="P61">
        <v>46.672000000000004</v>
      </c>
      <c r="Q61">
        <v>2</v>
      </c>
      <c r="R61">
        <v>0.2</v>
      </c>
      <c r="S61">
        <v>16.3352</v>
      </c>
    </row>
    <row r="62" spans="1:19" x14ac:dyDescent="0.25">
      <c r="A62" t="s">
        <v>280</v>
      </c>
      <c r="B62" s="4">
        <v>44273</v>
      </c>
      <c r="C62" t="s">
        <v>73</v>
      </c>
      <c r="D62" t="s">
        <v>281</v>
      </c>
      <c r="E62" t="s">
        <v>282</v>
      </c>
      <c r="F62" t="s">
        <v>66</v>
      </c>
      <c r="G62" t="s">
        <v>39</v>
      </c>
      <c r="H62" t="s">
        <v>283</v>
      </c>
      <c r="I62" t="s">
        <v>83</v>
      </c>
      <c r="J62">
        <v>92024</v>
      </c>
      <c r="K62" t="s">
        <v>84</v>
      </c>
      <c r="L62" t="s">
        <v>286</v>
      </c>
      <c r="M62" t="s">
        <v>48</v>
      </c>
      <c r="N62" t="s">
        <v>165</v>
      </c>
      <c r="O62" t="s">
        <v>287</v>
      </c>
      <c r="P62">
        <v>119.83299999999998</v>
      </c>
      <c r="Q62">
        <v>1</v>
      </c>
      <c r="R62">
        <v>0.15</v>
      </c>
      <c r="S62">
        <v>-12.688200000000002</v>
      </c>
    </row>
    <row r="63" spans="1:19" x14ac:dyDescent="0.25">
      <c r="A63" t="s">
        <v>280</v>
      </c>
      <c r="B63" s="4">
        <v>44273</v>
      </c>
      <c r="C63" t="s">
        <v>73</v>
      </c>
      <c r="D63" t="s">
        <v>281</v>
      </c>
      <c r="E63" t="s">
        <v>282</v>
      </c>
      <c r="F63" t="s">
        <v>66</v>
      </c>
      <c r="G63" t="s">
        <v>39</v>
      </c>
      <c r="H63" t="s">
        <v>283</v>
      </c>
      <c r="I63" t="s">
        <v>83</v>
      </c>
      <c r="J63">
        <v>92024</v>
      </c>
      <c r="K63" t="s">
        <v>84</v>
      </c>
      <c r="L63" t="s">
        <v>288</v>
      </c>
      <c r="M63" t="s">
        <v>86</v>
      </c>
      <c r="N63" t="s">
        <v>109</v>
      </c>
      <c r="O63" t="s">
        <v>289</v>
      </c>
      <c r="P63">
        <v>119.98</v>
      </c>
      <c r="Q63">
        <v>2</v>
      </c>
      <c r="R63">
        <v>0</v>
      </c>
      <c r="S63">
        <v>57.590400000000002</v>
      </c>
    </row>
    <row r="64" spans="1:19" x14ac:dyDescent="0.25">
      <c r="A64" t="s">
        <v>290</v>
      </c>
      <c r="B64" s="4">
        <v>44263</v>
      </c>
      <c r="C64" t="s">
        <v>73</v>
      </c>
      <c r="D64" t="s">
        <v>291</v>
      </c>
      <c r="E64" t="s">
        <v>292</v>
      </c>
      <c r="F64" t="s">
        <v>66</v>
      </c>
      <c r="G64" t="s">
        <v>39</v>
      </c>
      <c r="H64" t="s">
        <v>58</v>
      </c>
      <c r="I64" t="s">
        <v>59</v>
      </c>
      <c r="J64">
        <v>10035</v>
      </c>
      <c r="K64" t="s">
        <v>60</v>
      </c>
      <c r="L64" t="s">
        <v>293</v>
      </c>
      <c r="M64" t="s">
        <v>48</v>
      </c>
      <c r="N64" t="s">
        <v>49</v>
      </c>
      <c r="O64" t="s">
        <v>294</v>
      </c>
      <c r="P64">
        <v>109.48</v>
      </c>
      <c r="Q64">
        <v>2</v>
      </c>
      <c r="R64">
        <v>0</v>
      </c>
      <c r="S64">
        <v>33.938800000000001</v>
      </c>
    </row>
    <row r="65" spans="1:19" x14ac:dyDescent="0.25">
      <c r="A65" t="s">
        <v>290</v>
      </c>
      <c r="B65" s="4">
        <v>44263</v>
      </c>
      <c r="C65" t="s">
        <v>73</v>
      </c>
      <c r="D65" t="s">
        <v>291</v>
      </c>
      <c r="E65" t="s">
        <v>292</v>
      </c>
      <c r="F65" t="s">
        <v>66</v>
      </c>
      <c r="G65" t="s">
        <v>39</v>
      </c>
      <c r="H65" t="s">
        <v>58</v>
      </c>
      <c r="I65" t="s">
        <v>59</v>
      </c>
      <c r="J65">
        <v>10035</v>
      </c>
      <c r="K65" t="s">
        <v>60</v>
      </c>
      <c r="L65" t="s">
        <v>295</v>
      </c>
      <c r="M65" t="s">
        <v>44</v>
      </c>
      <c r="N65" t="s">
        <v>52</v>
      </c>
      <c r="O65" t="s">
        <v>296</v>
      </c>
      <c r="P65">
        <v>272.94</v>
      </c>
      <c r="Q65">
        <v>3</v>
      </c>
      <c r="R65">
        <v>0</v>
      </c>
      <c r="S65">
        <v>0</v>
      </c>
    </row>
    <row r="66" spans="1:19" x14ac:dyDescent="0.25">
      <c r="A66" t="s">
        <v>290</v>
      </c>
      <c r="B66" s="4">
        <v>44263</v>
      </c>
      <c r="C66" t="s">
        <v>73</v>
      </c>
      <c r="D66" t="s">
        <v>291</v>
      </c>
      <c r="E66" t="s">
        <v>292</v>
      </c>
      <c r="F66" t="s">
        <v>66</v>
      </c>
      <c r="G66" t="s">
        <v>39</v>
      </c>
      <c r="H66" t="s">
        <v>58</v>
      </c>
      <c r="I66" t="s">
        <v>59</v>
      </c>
      <c r="J66">
        <v>10035</v>
      </c>
      <c r="K66" t="s">
        <v>60</v>
      </c>
      <c r="L66" t="s">
        <v>297</v>
      </c>
      <c r="M66" t="s">
        <v>44</v>
      </c>
      <c r="N66" t="s">
        <v>152</v>
      </c>
      <c r="O66" t="s">
        <v>298</v>
      </c>
      <c r="P66">
        <v>19.440000000000001</v>
      </c>
      <c r="Q66">
        <v>3</v>
      </c>
      <c r="R66">
        <v>0</v>
      </c>
      <c r="S66">
        <v>9.3312000000000008</v>
      </c>
    </row>
    <row r="67" spans="1:19" x14ac:dyDescent="0.25">
      <c r="A67" t="s">
        <v>290</v>
      </c>
      <c r="B67" s="4">
        <v>44263</v>
      </c>
      <c r="C67" t="s">
        <v>73</v>
      </c>
      <c r="D67" t="s">
        <v>291</v>
      </c>
      <c r="E67" t="s">
        <v>292</v>
      </c>
      <c r="F67" t="s">
        <v>66</v>
      </c>
      <c r="G67" t="s">
        <v>39</v>
      </c>
      <c r="H67" t="s">
        <v>58</v>
      </c>
      <c r="I67" t="s">
        <v>59</v>
      </c>
      <c r="J67">
        <v>10035</v>
      </c>
      <c r="K67" t="s">
        <v>60</v>
      </c>
      <c r="L67" t="s">
        <v>299</v>
      </c>
      <c r="M67" t="s">
        <v>44</v>
      </c>
      <c r="N67" t="s">
        <v>52</v>
      </c>
      <c r="O67" t="s">
        <v>300</v>
      </c>
      <c r="P67">
        <v>31.92</v>
      </c>
      <c r="Q67">
        <v>4</v>
      </c>
      <c r="R67">
        <v>0</v>
      </c>
      <c r="S67">
        <v>8.299199999999999</v>
      </c>
    </row>
    <row r="68" spans="1:19" x14ac:dyDescent="0.25">
      <c r="A68" t="s">
        <v>301</v>
      </c>
      <c r="B68" s="4">
        <v>44273</v>
      </c>
      <c r="C68" t="s">
        <v>55</v>
      </c>
      <c r="D68" t="s">
        <v>302</v>
      </c>
      <c r="E68" t="s">
        <v>303</v>
      </c>
      <c r="F68" t="s">
        <v>66</v>
      </c>
      <c r="G68" t="s">
        <v>39</v>
      </c>
      <c r="H68" t="s">
        <v>58</v>
      </c>
      <c r="I68" t="s">
        <v>59</v>
      </c>
      <c r="J68">
        <v>10009</v>
      </c>
      <c r="K68" t="s">
        <v>60</v>
      </c>
      <c r="L68" t="s">
        <v>304</v>
      </c>
      <c r="M68" t="s">
        <v>44</v>
      </c>
      <c r="N68" t="s">
        <v>175</v>
      </c>
      <c r="O68" t="s">
        <v>305</v>
      </c>
      <c r="P68">
        <v>38.82</v>
      </c>
      <c r="Q68">
        <v>6</v>
      </c>
      <c r="R68">
        <v>0</v>
      </c>
      <c r="S68">
        <v>17.468999999999998</v>
      </c>
    </row>
    <row r="69" spans="1:19" x14ac:dyDescent="0.25">
      <c r="A69" t="s">
        <v>301</v>
      </c>
      <c r="B69" s="4">
        <v>44273</v>
      </c>
      <c r="C69" t="s">
        <v>55</v>
      </c>
      <c r="D69" t="s">
        <v>302</v>
      </c>
      <c r="E69" t="s">
        <v>303</v>
      </c>
      <c r="F69" t="s">
        <v>66</v>
      </c>
      <c r="G69" t="s">
        <v>39</v>
      </c>
      <c r="H69" t="s">
        <v>58</v>
      </c>
      <c r="I69" t="s">
        <v>59</v>
      </c>
      <c r="J69">
        <v>10009</v>
      </c>
      <c r="K69" t="s">
        <v>60</v>
      </c>
      <c r="L69" t="s">
        <v>306</v>
      </c>
      <c r="M69" t="s">
        <v>48</v>
      </c>
      <c r="N69" t="s">
        <v>168</v>
      </c>
      <c r="O69" t="s">
        <v>307</v>
      </c>
      <c r="P69">
        <v>1141.9379999999999</v>
      </c>
      <c r="Q69">
        <v>9</v>
      </c>
      <c r="R69">
        <v>0.1</v>
      </c>
      <c r="S69">
        <v>139.57019999999989</v>
      </c>
    </row>
    <row r="70" spans="1:19" x14ac:dyDescent="0.25">
      <c r="A70" t="s">
        <v>301</v>
      </c>
      <c r="B70" s="4">
        <v>44273</v>
      </c>
      <c r="C70" t="s">
        <v>55</v>
      </c>
      <c r="D70" t="s">
        <v>302</v>
      </c>
      <c r="E70" t="s">
        <v>303</v>
      </c>
      <c r="F70" t="s">
        <v>66</v>
      </c>
      <c r="G70" t="s">
        <v>39</v>
      </c>
      <c r="H70" t="s">
        <v>58</v>
      </c>
      <c r="I70" t="s">
        <v>59</v>
      </c>
      <c r="J70">
        <v>10009</v>
      </c>
      <c r="K70" t="s">
        <v>60</v>
      </c>
      <c r="L70" t="s">
        <v>308</v>
      </c>
      <c r="M70" t="s">
        <v>44</v>
      </c>
      <c r="N70" t="s">
        <v>70</v>
      </c>
      <c r="O70" t="s">
        <v>309</v>
      </c>
      <c r="P70">
        <v>1704.56</v>
      </c>
      <c r="Q70">
        <v>13</v>
      </c>
      <c r="R70">
        <v>0</v>
      </c>
      <c r="S70">
        <v>511.36799999999999</v>
      </c>
    </row>
    <row r="71" spans="1:19" x14ac:dyDescent="0.25">
      <c r="A71" t="s">
        <v>301</v>
      </c>
      <c r="B71" s="4">
        <v>44273</v>
      </c>
      <c r="C71" t="s">
        <v>55</v>
      </c>
      <c r="D71" t="s">
        <v>302</v>
      </c>
      <c r="E71" t="s">
        <v>303</v>
      </c>
      <c r="F71" t="s">
        <v>66</v>
      </c>
      <c r="G71" t="s">
        <v>39</v>
      </c>
      <c r="H71" t="s">
        <v>58</v>
      </c>
      <c r="I71" t="s">
        <v>59</v>
      </c>
      <c r="J71">
        <v>10009</v>
      </c>
      <c r="K71" t="s">
        <v>60</v>
      </c>
      <c r="L71" t="s">
        <v>310</v>
      </c>
      <c r="M71" t="s">
        <v>44</v>
      </c>
      <c r="N71" t="s">
        <v>175</v>
      </c>
      <c r="O71" t="s">
        <v>311</v>
      </c>
      <c r="P71">
        <v>3.2</v>
      </c>
      <c r="Q71">
        <v>2</v>
      </c>
      <c r="R71">
        <v>0</v>
      </c>
      <c r="S71">
        <v>1.3760000000000003</v>
      </c>
    </row>
    <row r="72" spans="1:19" x14ac:dyDescent="0.25">
      <c r="A72" t="s">
        <v>312</v>
      </c>
      <c r="B72" s="4">
        <v>44285</v>
      </c>
      <c r="C72" t="s">
        <v>55</v>
      </c>
      <c r="D72" t="s">
        <v>313</v>
      </c>
      <c r="E72" t="s">
        <v>314</v>
      </c>
      <c r="F72" t="s">
        <v>38</v>
      </c>
      <c r="G72" t="s">
        <v>39</v>
      </c>
      <c r="H72" t="s">
        <v>315</v>
      </c>
      <c r="I72" t="s">
        <v>83</v>
      </c>
      <c r="J72">
        <v>94533</v>
      </c>
      <c r="K72" t="s">
        <v>84</v>
      </c>
      <c r="L72" t="s">
        <v>316</v>
      </c>
      <c r="M72" t="s">
        <v>44</v>
      </c>
      <c r="N72" t="s">
        <v>45</v>
      </c>
      <c r="O72" t="s">
        <v>317</v>
      </c>
      <c r="P72">
        <v>13.904</v>
      </c>
      <c r="Q72">
        <v>2</v>
      </c>
      <c r="R72">
        <v>0.2</v>
      </c>
      <c r="S72">
        <v>4.5187999999999997</v>
      </c>
    </row>
    <row r="73" spans="1:19" x14ac:dyDescent="0.25">
      <c r="A73" t="s">
        <v>312</v>
      </c>
      <c r="B73" s="4">
        <v>44285</v>
      </c>
      <c r="C73" t="s">
        <v>55</v>
      </c>
      <c r="D73" t="s">
        <v>313</v>
      </c>
      <c r="E73" t="s">
        <v>314</v>
      </c>
      <c r="F73" t="s">
        <v>38</v>
      </c>
      <c r="G73" t="s">
        <v>39</v>
      </c>
      <c r="H73" t="s">
        <v>315</v>
      </c>
      <c r="I73" t="s">
        <v>83</v>
      </c>
      <c r="J73">
        <v>94533</v>
      </c>
      <c r="K73" t="s">
        <v>84</v>
      </c>
      <c r="L73" t="s">
        <v>318</v>
      </c>
      <c r="M73" t="s">
        <v>44</v>
      </c>
      <c r="N73" t="s">
        <v>45</v>
      </c>
      <c r="O73" t="s">
        <v>319</v>
      </c>
      <c r="P73">
        <v>20.72</v>
      </c>
      <c r="Q73">
        <v>2</v>
      </c>
      <c r="R73">
        <v>0.2</v>
      </c>
      <c r="S73">
        <v>6.4749999999999979</v>
      </c>
    </row>
    <row r="74" spans="1:19" x14ac:dyDescent="0.25">
      <c r="A74" t="s">
        <v>320</v>
      </c>
      <c r="B74" s="4">
        <v>44265</v>
      </c>
      <c r="C74" t="s">
        <v>55</v>
      </c>
      <c r="D74" t="s">
        <v>321</v>
      </c>
      <c r="E74" t="s">
        <v>322</v>
      </c>
      <c r="F74" t="s">
        <v>66</v>
      </c>
      <c r="G74" t="s">
        <v>39</v>
      </c>
      <c r="H74" t="s">
        <v>323</v>
      </c>
      <c r="I74" t="s">
        <v>324</v>
      </c>
      <c r="J74">
        <v>19120</v>
      </c>
      <c r="K74" t="s">
        <v>60</v>
      </c>
      <c r="L74" t="s">
        <v>325</v>
      </c>
      <c r="M74" t="s">
        <v>86</v>
      </c>
      <c r="N74" t="s">
        <v>109</v>
      </c>
      <c r="O74" t="s">
        <v>326</v>
      </c>
      <c r="P74">
        <v>14.200000000000001</v>
      </c>
      <c r="Q74">
        <v>1</v>
      </c>
      <c r="R74">
        <v>0.2</v>
      </c>
      <c r="S74">
        <v>3.3724999999999992</v>
      </c>
    </row>
    <row r="75" spans="1:19" x14ac:dyDescent="0.25">
      <c r="A75" t="s">
        <v>327</v>
      </c>
      <c r="B75" s="4">
        <v>44274</v>
      </c>
      <c r="C75" t="s">
        <v>73</v>
      </c>
      <c r="D75" t="s">
        <v>328</v>
      </c>
      <c r="E75" t="s">
        <v>329</v>
      </c>
      <c r="F75" t="s">
        <v>66</v>
      </c>
      <c r="G75" t="s">
        <v>39</v>
      </c>
      <c r="H75" t="s">
        <v>128</v>
      </c>
      <c r="I75" t="s">
        <v>83</v>
      </c>
      <c r="J75">
        <v>94110</v>
      </c>
      <c r="K75" t="s">
        <v>84</v>
      </c>
      <c r="L75" t="s">
        <v>330</v>
      </c>
      <c r="M75" t="s">
        <v>44</v>
      </c>
      <c r="N75" t="s">
        <v>45</v>
      </c>
      <c r="O75" t="s">
        <v>331</v>
      </c>
      <c r="P75">
        <v>36.672000000000004</v>
      </c>
      <c r="Q75">
        <v>2</v>
      </c>
      <c r="R75">
        <v>0.2</v>
      </c>
      <c r="S75">
        <v>11.459999999999999</v>
      </c>
    </row>
    <row r="76" spans="1:19" x14ac:dyDescent="0.25">
      <c r="A76" t="s">
        <v>332</v>
      </c>
      <c r="B76" s="4">
        <v>44264</v>
      </c>
      <c r="C76" t="s">
        <v>55</v>
      </c>
      <c r="D76" t="s">
        <v>333</v>
      </c>
      <c r="E76" t="s">
        <v>334</v>
      </c>
      <c r="F76" t="s">
        <v>38</v>
      </c>
      <c r="G76" t="s">
        <v>39</v>
      </c>
      <c r="H76" t="s">
        <v>335</v>
      </c>
      <c r="I76" t="s">
        <v>93</v>
      </c>
      <c r="J76">
        <v>48234</v>
      </c>
      <c r="K76" t="s">
        <v>42</v>
      </c>
      <c r="L76" t="s">
        <v>336</v>
      </c>
      <c r="M76" t="s">
        <v>48</v>
      </c>
      <c r="N76" t="s">
        <v>168</v>
      </c>
      <c r="O76" t="s">
        <v>337</v>
      </c>
      <c r="P76">
        <v>872.94</v>
      </c>
      <c r="Q76">
        <v>3</v>
      </c>
      <c r="R76">
        <v>0</v>
      </c>
      <c r="S76">
        <v>226.96439999999998</v>
      </c>
    </row>
    <row r="77" spans="1:19" x14ac:dyDescent="0.25">
      <c r="A77" t="s">
        <v>332</v>
      </c>
      <c r="B77" s="4">
        <v>44264</v>
      </c>
      <c r="C77" t="s">
        <v>55</v>
      </c>
      <c r="D77" t="s">
        <v>333</v>
      </c>
      <c r="E77" t="s">
        <v>334</v>
      </c>
      <c r="F77" t="s">
        <v>38</v>
      </c>
      <c r="G77" t="s">
        <v>39</v>
      </c>
      <c r="H77" t="s">
        <v>335</v>
      </c>
      <c r="I77" t="s">
        <v>93</v>
      </c>
      <c r="J77">
        <v>48234</v>
      </c>
      <c r="K77" t="s">
        <v>42</v>
      </c>
      <c r="L77" t="s">
        <v>338</v>
      </c>
      <c r="M77" t="s">
        <v>44</v>
      </c>
      <c r="N77" t="s">
        <v>45</v>
      </c>
      <c r="O77" t="s">
        <v>339</v>
      </c>
      <c r="P77">
        <v>41.54</v>
      </c>
      <c r="Q77">
        <v>2</v>
      </c>
      <c r="R77">
        <v>0</v>
      </c>
      <c r="S77">
        <v>19.523799999999998</v>
      </c>
    </row>
    <row r="78" spans="1:19" x14ac:dyDescent="0.25">
      <c r="A78" t="s">
        <v>332</v>
      </c>
      <c r="B78" s="4">
        <v>44264</v>
      </c>
      <c r="C78" t="s">
        <v>55</v>
      </c>
      <c r="D78" t="s">
        <v>333</v>
      </c>
      <c r="E78" t="s">
        <v>334</v>
      </c>
      <c r="F78" t="s">
        <v>38</v>
      </c>
      <c r="G78" t="s">
        <v>39</v>
      </c>
      <c r="H78" t="s">
        <v>335</v>
      </c>
      <c r="I78" t="s">
        <v>93</v>
      </c>
      <c r="J78">
        <v>48234</v>
      </c>
      <c r="K78" t="s">
        <v>42</v>
      </c>
      <c r="L78" t="s">
        <v>340</v>
      </c>
      <c r="M78" t="s">
        <v>44</v>
      </c>
      <c r="N78" t="s">
        <v>152</v>
      </c>
      <c r="O78" t="s">
        <v>341</v>
      </c>
      <c r="P78">
        <v>12.96</v>
      </c>
      <c r="Q78">
        <v>2</v>
      </c>
      <c r="R78">
        <v>0</v>
      </c>
      <c r="S78">
        <v>6.2208000000000006</v>
      </c>
    </row>
    <row r="79" spans="1:19" x14ac:dyDescent="0.25">
      <c r="A79" t="s">
        <v>342</v>
      </c>
      <c r="B79" s="4">
        <v>44279</v>
      </c>
      <c r="C79" t="s">
        <v>55</v>
      </c>
      <c r="D79" t="s">
        <v>343</v>
      </c>
      <c r="E79" t="s">
        <v>344</v>
      </c>
      <c r="F79" t="s">
        <v>66</v>
      </c>
      <c r="G79" t="s">
        <v>39</v>
      </c>
      <c r="H79" t="s">
        <v>58</v>
      </c>
      <c r="I79" t="s">
        <v>59</v>
      </c>
      <c r="J79">
        <v>10024</v>
      </c>
      <c r="K79" t="s">
        <v>60</v>
      </c>
      <c r="L79" t="s">
        <v>345</v>
      </c>
      <c r="M79" t="s">
        <v>44</v>
      </c>
      <c r="N79" t="s">
        <v>45</v>
      </c>
      <c r="O79" t="s">
        <v>346</v>
      </c>
      <c r="P79">
        <v>17.880000000000003</v>
      </c>
      <c r="Q79">
        <v>3</v>
      </c>
      <c r="R79">
        <v>0.2</v>
      </c>
      <c r="S79">
        <v>5.5875000000000004</v>
      </c>
    </row>
    <row r="80" spans="1:19" x14ac:dyDescent="0.25">
      <c r="A80" t="s">
        <v>347</v>
      </c>
      <c r="B80" s="4">
        <v>44265</v>
      </c>
      <c r="C80" t="s">
        <v>238</v>
      </c>
      <c r="D80" t="s">
        <v>348</v>
      </c>
      <c r="E80" t="s">
        <v>349</v>
      </c>
      <c r="F80" t="s">
        <v>218</v>
      </c>
      <c r="G80" t="s">
        <v>39</v>
      </c>
      <c r="H80" t="s">
        <v>350</v>
      </c>
      <c r="I80" t="s">
        <v>351</v>
      </c>
      <c r="J80">
        <v>68104</v>
      </c>
      <c r="K80" t="s">
        <v>42</v>
      </c>
      <c r="L80" t="s">
        <v>352</v>
      </c>
      <c r="M80" t="s">
        <v>44</v>
      </c>
      <c r="N80" t="s">
        <v>45</v>
      </c>
      <c r="O80" t="s">
        <v>353</v>
      </c>
      <c r="P80">
        <v>34.5</v>
      </c>
      <c r="Q80">
        <v>3</v>
      </c>
      <c r="R80">
        <v>0</v>
      </c>
      <c r="S80">
        <v>15.524999999999999</v>
      </c>
    </row>
    <row r="81" spans="1:19" x14ac:dyDescent="0.25">
      <c r="A81" t="s">
        <v>354</v>
      </c>
      <c r="B81" s="4">
        <v>44266</v>
      </c>
      <c r="C81" t="s">
        <v>55</v>
      </c>
      <c r="D81" t="s">
        <v>355</v>
      </c>
      <c r="E81" t="s">
        <v>356</v>
      </c>
      <c r="F81" t="s">
        <v>66</v>
      </c>
      <c r="G81" t="s">
        <v>39</v>
      </c>
      <c r="H81" t="s">
        <v>323</v>
      </c>
      <c r="I81" t="s">
        <v>324</v>
      </c>
      <c r="J81">
        <v>19120</v>
      </c>
      <c r="K81" t="s">
        <v>60</v>
      </c>
      <c r="L81" t="s">
        <v>357</v>
      </c>
      <c r="M81" t="s">
        <v>48</v>
      </c>
      <c r="N81" t="s">
        <v>168</v>
      </c>
      <c r="O81" t="s">
        <v>358</v>
      </c>
      <c r="P81">
        <v>63.686</v>
      </c>
      <c r="Q81">
        <v>1</v>
      </c>
      <c r="R81">
        <v>0.3</v>
      </c>
      <c r="S81">
        <v>-9.0980000000000025</v>
      </c>
    </row>
    <row r="82" spans="1:19" x14ac:dyDescent="0.25">
      <c r="A82" t="s">
        <v>359</v>
      </c>
      <c r="B82" s="4">
        <v>44265</v>
      </c>
      <c r="C82" t="s">
        <v>73</v>
      </c>
      <c r="D82" t="s">
        <v>360</v>
      </c>
      <c r="E82" t="s">
        <v>361</v>
      </c>
      <c r="F82" t="s">
        <v>66</v>
      </c>
      <c r="G82" t="s">
        <v>39</v>
      </c>
      <c r="H82" t="s">
        <v>362</v>
      </c>
      <c r="I82" t="s">
        <v>363</v>
      </c>
      <c r="J82">
        <v>89031</v>
      </c>
      <c r="K82" t="s">
        <v>84</v>
      </c>
      <c r="L82" t="s">
        <v>364</v>
      </c>
      <c r="M82" t="s">
        <v>48</v>
      </c>
      <c r="N82" t="s">
        <v>155</v>
      </c>
      <c r="O82" t="s">
        <v>365</v>
      </c>
      <c r="P82">
        <v>1669.6</v>
      </c>
      <c r="Q82">
        <v>4</v>
      </c>
      <c r="R82">
        <v>0</v>
      </c>
      <c r="S82">
        <v>116.87199999999984</v>
      </c>
    </row>
    <row r="83" spans="1:19" x14ac:dyDescent="0.25">
      <c r="A83" t="s">
        <v>366</v>
      </c>
      <c r="B83" s="4">
        <v>44276</v>
      </c>
      <c r="C83" t="s">
        <v>55</v>
      </c>
      <c r="D83" t="s">
        <v>367</v>
      </c>
      <c r="E83" t="s">
        <v>368</v>
      </c>
      <c r="F83" t="s">
        <v>38</v>
      </c>
      <c r="G83" t="s">
        <v>39</v>
      </c>
      <c r="H83" t="s">
        <v>369</v>
      </c>
      <c r="I83" t="s">
        <v>83</v>
      </c>
      <c r="J83">
        <v>94601</v>
      </c>
      <c r="K83" t="s">
        <v>84</v>
      </c>
      <c r="L83" t="s">
        <v>370</v>
      </c>
      <c r="M83" t="s">
        <v>44</v>
      </c>
      <c r="N83" t="s">
        <v>52</v>
      </c>
      <c r="O83" t="s">
        <v>371</v>
      </c>
      <c r="P83">
        <v>1000.0200000000001</v>
      </c>
      <c r="Q83">
        <v>7</v>
      </c>
      <c r="R83">
        <v>0</v>
      </c>
      <c r="S83">
        <v>290.00579999999991</v>
      </c>
    </row>
    <row r="84" spans="1:19" x14ac:dyDescent="0.25">
      <c r="A84" t="s">
        <v>372</v>
      </c>
      <c r="B84" s="4">
        <v>44265</v>
      </c>
      <c r="C84" t="s">
        <v>35</v>
      </c>
      <c r="D84" t="s">
        <v>373</v>
      </c>
      <c r="E84" t="s">
        <v>374</v>
      </c>
      <c r="F84" t="s">
        <v>66</v>
      </c>
      <c r="G84" t="s">
        <v>39</v>
      </c>
      <c r="H84" t="s">
        <v>323</v>
      </c>
      <c r="I84" t="s">
        <v>324</v>
      </c>
      <c r="J84">
        <v>19140</v>
      </c>
      <c r="K84" t="s">
        <v>60</v>
      </c>
      <c r="L84" t="s">
        <v>375</v>
      </c>
      <c r="M84" t="s">
        <v>44</v>
      </c>
      <c r="N84" t="s">
        <v>152</v>
      </c>
      <c r="O84" t="s">
        <v>376</v>
      </c>
      <c r="P84">
        <v>10.368000000000002</v>
      </c>
      <c r="Q84">
        <v>2</v>
      </c>
      <c r="R84">
        <v>0.2</v>
      </c>
      <c r="S84">
        <v>3.6288</v>
      </c>
    </row>
    <row r="85" spans="1:19" x14ac:dyDescent="0.25">
      <c r="A85" t="s">
        <v>372</v>
      </c>
      <c r="B85" s="4">
        <v>44265</v>
      </c>
      <c r="C85" t="s">
        <v>35</v>
      </c>
      <c r="D85" t="s">
        <v>373</v>
      </c>
      <c r="E85" t="s">
        <v>374</v>
      </c>
      <c r="F85" t="s">
        <v>66</v>
      </c>
      <c r="G85" t="s">
        <v>39</v>
      </c>
      <c r="H85" t="s">
        <v>323</v>
      </c>
      <c r="I85" t="s">
        <v>324</v>
      </c>
      <c r="J85">
        <v>19140</v>
      </c>
      <c r="K85" t="s">
        <v>60</v>
      </c>
      <c r="L85" t="s">
        <v>377</v>
      </c>
      <c r="M85" t="s">
        <v>48</v>
      </c>
      <c r="N85" t="s">
        <v>49</v>
      </c>
      <c r="O85" t="s">
        <v>378</v>
      </c>
      <c r="P85">
        <v>310.88000000000005</v>
      </c>
      <c r="Q85">
        <v>2</v>
      </c>
      <c r="R85">
        <v>0.2</v>
      </c>
      <c r="S85">
        <v>23.315999999999988</v>
      </c>
    </row>
    <row r="86" spans="1:19" x14ac:dyDescent="0.25">
      <c r="A86" t="s">
        <v>379</v>
      </c>
      <c r="B86" s="4">
        <v>44264</v>
      </c>
      <c r="C86" t="s">
        <v>55</v>
      </c>
      <c r="D86" t="s">
        <v>380</v>
      </c>
      <c r="E86" t="s">
        <v>381</v>
      </c>
      <c r="F86" t="s">
        <v>66</v>
      </c>
      <c r="G86" t="s">
        <v>39</v>
      </c>
      <c r="H86" t="s">
        <v>382</v>
      </c>
      <c r="I86" t="s">
        <v>220</v>
      </c>
      <c r="J86">
        <v>46203</v>
      </c>
      <c r="K86" t="s">
        <v>42</v>
      </c>
      <c r="L86" t="s">
        <v>383</v>
      </c>
      <c r="M86" t="s">
        <v>44</v>
      </c>
      <c r="N86" t="s">
        <v>152</v>
      </c>
      <c r="O86" t="s">
        <v>384</v>
      </c>
      <c r="P86">
        <v>33.450000000000003</v>
      </c>
      <c r="Q86">
        <v>5</v>
      </c>
      <c r="R86">
        <v>0</v>
      </c>
      <c r="S86">
        <v>15.387</v>
      </c>
    </row>
    <row r="87" spans="1:19" x14ac:dyDescent="0.25">
      <c r="A87" t="s">
        <v>379</v>
      </c>
      <c r="B87" s="4">
        <v>44264</v>
      </c>
      <c r="C87" t="s">
        <v>55</v>
      </c>
      <c r="D87" t="s">
        <v>380</v>
      </c>
      <c r="E87" t="s">
        <v>381</v>
      </c>
      <c r="F87" t="s">
        <v>66</v>
      </c>
      <c r="G87" t="s">
        <v>39</v>
      </c>
      <c r="H87" t="s">
        <v>382</v>
      </c>
      <c r="I87" t="s">
        <v>220</v>
      </c>
      <c r="J87">
        <v>46203</v>
      </c>
      <c r="K87" t="s">
        <v>42</v>
      </c>
      <c r="L87" t="s">
        <v>43</v>
      </c>
      <c r="M87" t="s">
        <v>44</v>
      </c>
      <c r="N87" t="s">
        <v>45</v>
      </c>
      <c r="O87" t="s">
        <v>46</v>
      </c>
      <c r="P87">
        <v>10.4</v>
      </c>
      <c r="Q87">
        <v>5</v>
      </c>
      <c r="R87">
        <v>0</v>
      </c>
      <c r="S87">
        <v>5.0960000000000001</v>
      </c>
    </row>
    <row r="88" spans="1:19" x14ac:dyDescent="0.25">
      <c r="A88" t="s">
        <v>385</v>
      </c>
      <c r="B88" s="4">
        <v>44257</v>
      </c>
      <c r="C88" t="s">
        <v>35</v>
      </c>
      <c r="D88" t="s">
        <v>386</v>
      </c>
      <c r="E88" t="s">
        <v>387</v>
      </c>
      <c r="F88" t="s">
        <v>38</v>
      </c>
      <c r="G88" t="s">
        <v>39</v>
      </c>
      <c r="H88" t="s">
        <v>128</v>
      </c>
      <c r="I88" t="s">
        <v>83</v>
      </c>
      <c r="J88">
        <v>94122</v>
      </c>
      <c r="K88" t="s">
        <v>84</v>
      </c>
      <c r="L88" t="s">
        <v>388</v>
      </c>
      <c r="M88" t="s">
        <v>44</v>
      </c>
      <c r="N88" t="s">
        <v>52</v>
      </c>
      <c r="O88" t="s">
        <v>389</v>
      </c>
      <c r="P88">
        <v>559.62</v>
      </c>
      <c r="Q88">
        <v>9</v>
      </c>
      <c r="R88">
        <v>0</v>
      </c>
      <c r="S88">
        <v>151.09740000000002</v>
      </c>
    </row>
    <row r="89" spans="1:19" x14ac:dyDescent="0.25">
      <c r="A89" t="s">
        <v>385</v>
      </c>
      <c r="B89" s="4">
        <v>44257</v>
      </c>
      <c r="C89" t="s">
        <v>35</v>
      </c>
      <c r="D89" t="s">
        <v>386</v>
      </c>
      <c r="E89" t="s">
        <v>387</v>
      </c>
      <c r="F89" t="s">
        <v>38</v>
      </c>
      <c r="G89" t="s">
        <v>39</v>
      </c>
      <c r="H89" t="s">
        <v>128</v>
      </c>
      <c r="I89" t="s">
        <v>83</v>
      </c>
      <c r="J89">
        <v>94122</v>
      </c>
      <c r="K89" t="s">
        <v>84</v>
      </c>
      <c r="L89" t="s">
        <v>390</v>
      </c>
      <c r="M89" t="s">
        <v>44</v>
      </c>
      <c r="N89" t="s">
        <v>152</v>
      </c>
      <c r="O89" t="s">
        <v>391</v>
      </c>
      <c r="P89">
        <v>109.92</v>
      </c>
      <c r="Q89">
        <v>2</v>
      </c>
      <c r="R89">
        <v>0</v>
      </c>
      <c r="S89">
        <v>53.860799999999998</v>
      </c>
    </row>
    <row r="90" spans="1:19" x14ac:dyDescent="0.25">
      <c r="A90" t="s">
        <v>385</v>
      </c>
      <c r="B90" s="4">
        <v>44257</v>
      </c>
      <c r="C90" t="s">
        <v>35</v>
      </c>
      <c r="D90" t="s">
        <v>386</v>
      </c>
      <c r="E90" t="s">
        <v>387</v>
      </c>
      <c r="F90" t="s">
        <v>38</v>
      </c>
      <c r="G90" t="s">
        <v>39</v>
      </c>
      <c r="H90" t="s">
        <v>128</v>
      </c>
      <c r="I90" t="s">
        <v>83</v>
      </c>
      <c r="J90">
        <v>94122</v>
      </c>
      <c r="K90" t="s">
        <v>84</v>
      </c>
      <c r="L90" t="s">
        <v>392</v>
      </c>
      <c r="M90" t="s">
        <v>44</v>
      </c>
      <c r="N90" t="s">
        <v>152</v>
      </c>
      <c r="O90" t="s">
        <v>393</v>
      </c>
      <c r="P90">
        <v>8.56</v>
      </c>
      <c r="Q90">
        <v>2</v>
      </c>
      <c r="R90">
        <v>0</v>
      </c>
      <c r="S90">
        <v>3.8519999999999994</v>
      </c>
    </row>
    <row r="91" spans="1:19" x14ac:dyDescent="0.25">
      <c r="A91" t="s">
        <v>394</v>
      </c>
      <c r="B91" s="4">
        <v>44284</v>
      </c>
      <c r="C91" t="s">
        <v>55</v>
      </c>
      <c r="D91" t="s">
        <v>395</v>
      </c>
      <c r="E91" t="s">
        <v>396</v>
      </c>
      <c r="F91" t="s">
        <v>66</v>
      </c>
      <c r="G91" t="s">
        <v>39</v>
      </c>
      <c r="H91" t="s">
        <v>173</v>
      </c>
      <c r="I91" t="s">
        <v>83</v>
      </c>
      <c r="J91">
        <v>90049</v>
      </c>
      <c r="K91" t="s">
        <v>84</v>
      </c>
      <c r="L91" t="s">
        <v>397</v>
      </c>
      <c r="M91" t="s">
        <v>48</v>
      </c>
      <c r="N91" t="s">
        <v>168</v>
      </c>
      <c r="O91" t="s">
        <v>398</v>
      </c>
      <c r="P91">
        <v>393.56799999999998</v>
      </c>
      <c r="Q91">
        <v>4</v>
      </c>
      <c r="R91">
        <v>0.2</v>
      </c>
      <c r="S91">
        <v>-44.276400000000024</v>
      </c>
    </row>
    <row r="92" spans="1:19" x14ac:dyDescent="0.25">
      <c r="A92" t="s">
        <v>394</v>
      </c>
      <c r="B92" s="4">
        <v>44284</v>
      </c>
      <c r="C92" t="s">
        <v>55</v>
      </c>
      <c r="D92" t="s">
        <v>395</v>
      </c>
      <c r="E92" t="s">
        <v>396</v>
      </c>
      <c r="F92" t="s">
        <v>66</v>
      </c>
      <c r="G92" t="s">
        <v>39</v>
      </c>
      <c r="H92" t="s">
        <v>173</v>
      </c>
      <c r="I92" t="s">
        <v>83</v>
      </c>
      <c r="J92">
        <v>90049</v>
      </c>
      <c r="K92" t="s">
        <v>84</v>
      </c>
      <c r="L92" t="s">
        <v>399</v>
      </c>
      <c r="M92" t="s">
        <v>86</v>
      </c>
      <c r="N92" t="s">
        <v>87</v>
      </c>
      <c r="O92" t="s">
        <v>400</v>
      </c>
      <c r="P92">
        <v>302.37599999999998</v>
      </c>
      <c r="Q92">
        <v>3</v>
      </c>
      <c r="R92">
        <v>0.2</v>
      </c>
      <c r="S92">
        <v>22.678200000000018</v>
      </c>
    </row>
    <row r="93" spans="1:19" x14ac:dyDescent="0.25">
      <c r="A93" t="s">
        <v>401</v>
      </c>
      <c r="B93" s="4">
        <v>44277</v>
      </c>
      <c r="C93" t="s">
        <v>73</v>
      </c>
      <c r="D93" t="s">
        <v>402</v>
      </c>
      <c r="E93" t="s">
        <v>403</v>
      </c>
      <c r="F93" t="s">
        <v>66</v>
      </c>
      <c r="G93" t="s">
        <v>39</v>
      </c>
      <c r="H93" t="s">
        <v>404</v>
      </c>
      <c r="I93" t="s">
        <v>405</v>
      </c>
      <c r="J93">
        <v>32127</v>
      </c>
      <c r="K93" t="s">
        <v>406</v>
      </c>
      <c r="L93" t="s">
        <v>407</v>
      </c>
      <c r="M93" t="s">
        <v>44</v>
      </c>
      <c r="N93" t="s">
        <v>123</v>
      </c>
      <c r="O93" t="s">
        <v>408</v>
      </c>
      <c r="P93">
        <v>7.8239999999999998</v>
      </c>
      <c r="Q93">
        <v>1</v>
      </c>
      <c r="R93">
        <v>0.2</v>
      </c>
      <c r="S93">
        <v>2.9339999999999997</v>
      </c>
    </row>
    <row r="94" spans="1:19" x14ac:dyDescent="0.25">
      <c r="A94" t="s">
        <v>409</v>
      </c>
      <c r="B94" s="4">
        <v>44257</v>
      </c>
      <c r="C94" t="s">
        <v>35</v>
      </c>
      <c r="D94" t="s">
        <v>410</v>
      </c>
      <c r="E94" t="s">
        <v>411</v>
      </c>
      <c r="F94" t="s">
        <v>66</v>
      </c>
      <c r="G94" t="s">
        <v>39</v>
      </c>
      <c r="H94" t="s">
        <v>412</v>
      </c>
      <c r="I94" t="s">
        <v>413</v>
      </c>
      <c r="J94">
        <v>22901</v>
      </c>
      <c r="K94" t="s">
        <v>406</v>
      </c>
      <c r="L94" t="s">
        <v>414</v>
      </c>
      <c r="M94" t="s">
        <v>44</v>
      </c>
      <c r="N94" t="s">
        <v>175</v>
      </c>
      <c r="O94" t="s">
        <v>415</v>
      </c>
      <c r="P94">
        <v>34.650000000000006</v>
      </c>
      <c r="Q94">
        <v>3</v>
      </c>
      <c r="R94">
        <v>0</v>
      </c>
      <c r="S94">
        <v>10.395</v>
      </c>
    </row>
    <row r="95" spans="1:19" x14ac:dyDescent="0.25">
      <c r="A95" t="s">
        <v>416</v>
      </c>
      <c r="B95" s="4">
        <v>44273</v>
      </c>
      <c r="C95" t="s">
        <v>55</v>
      </c>
      <c r="D95" t="s">
        <v>417</v>
      </c>
      <c r="E95" t="s">
        <v>418</v>
      </c>
      <c r="F95" t="s">
        <v>66</v>
      </c>
      <c r="G95" t="s">
        <v>39</v>
      </c>
      <c r="H95" t="s">
        <v>419</v>
      </c>
      <c r="I95" t="s">
        <v>59</v>
      </c>
      <c r="J95">
        <v>11572</v>
      </c>
      <c r="K95" t="s">
        <v>60</v>
      </c>
      <c r="L95" t="s">
        <v>420</v>
      </c>
      <c r="M95" t="s">
        <v>48</v>
      </c>
      <c r="N95" t="s">
        <v>49</v>
      </c>
      <c r="O95" t="s">
        <v>421</v>
      </c>
      <c r="P95">
        <v>18.96</v>
      </c>
      <c r="Q95">
        <v>2</v>
      </c>
      <c r="R95">
        <v>0</v>
      </c>
      <c r="S95">
        <v>8.532</v>
      </c>
    </row>
    <row r="96" spans="1:19" x14ac:dyDescent="0.25">
      <c r="A96" t="s">
        <v>422</v>
      </c>
      <c r="B96" s="4">
        <v>44260</v>
      </c>
      <c r="C96" t="s">
        <v>73</v>
      </c>
      <c r="D96" t="s">
        <v>423</v>
      </c>
      <c r="E96" t="s">
        <v>424</v>
      </c>
      <c r="F96" t="s">
        <v>66</v>
      </c>
      <c r="G96" t="s">
        <v>39</v>
      </c>
      <c r="H96" t="s">
        <v>275</v>
      </c>
      <c r="I96" t="s">
        <v>83</v>
      </c>
      <c r="J96">
        <v>92024</v>
      </c>
      <c r="K96" t="s">
        <v>84</v>
      </c>
      <c r="L96" t="s">
        <v>425</v>
      </c>
      <c r="M96" t="s">
        <v>44</v>
      </c>
      <c r="N96" t="s">
        <v>152</v>
      </c>
      <c r="O96" t="s">
        <v>426</v>
      </c>
      <c r="P96">
        <v>92.94</v>
      </c>
      <c r="Q96">
        <v>3</v>
      </c>
      <c r="R96">
        <v>0</v>
      </c>
      <c r="S96">
        <v>41.822999999999993</v>
      </c>
    </row>
    <row r="97" spans="1:19" x14ac:dyDescent="0.25">
      <c r="A97" t="s">
        <v>427</v>
      </c>
      <c r="B97" s="4">
        <v>44276</v>
      </c>
      <c r="C97" t="s">
        <v>55</v>
      </c>
      <c r="D97" t="s">
        <v>428</v>
      </c>
      <c r="E97" t="s">
        <v>429</v>
      </c>
      <c r="F97" t="s">
        <v>66</v>
      </c>
      <c r="G97" t="s">
        <v>39</v>
      </c>
      <c r="H97" t="s">
        <v>430</v>
      </c>
      <c r="I97" t="s">
        <v>431</v>
      </c>
      <c r="J97">
        <v>7501</v>
      </c>
      <c r="K97" t="s">
        <v>60</v>
      </c>
      <c r="L97" t="s">
        <v>432</v>
      </c>
      <c r="M97" t="s">
        <v>86</v>
      </c>
      <c r="N97" t="s">
        <v>87</v>
      </c>
      <c r="O97" t="s">
        <v>433</v>
      </c>
      <c r="P97">
        <v>281.96999999999997</v>
      </c>
      <c r="Q97">
        <v>3</v>
      </c>
      <c r="R97">
        <v>0</v>
      </c>
      <c r="S97">
        <v>78.951599999999999</v>
      </c>
    </row>
    <row r="98" spans="1:19" x14ac:dyDescent="0.25">
      <c r="A98" t="s">
        <v>427</v>
      </c>
      <c r="B98" s="4">
        <v>44276</v>
      </c>
      <c r="C98" t="s">
        <v>55</v>
      </c>
      <c r="D98" t="s">
        <v>428</v>
      </c>
      <c r="E98" t="s">
        <v>429</v>
      </c>
      <c r="F98" t="s">
        <v>66</v>
      </c>
      <c r="G98" t="s">
        <v>39</v>
      </c>
      <c r="H98" t="s">
        <v>430</v>
      </c>
      <c r="I98" t="s">
        <v>431</v>
      </c>
      <c r="J98">
        <v>7501</v>
      </c>
      <c r="K98" t="s">
        <v>60</v>
      </c>
      <c r="L98" t="s">
        <v>434</v>
      </c>
      <c r="M98" t="s">
        <v>44</v>
      </c>
      <c r="N98" t="s">
        <v>435</v>
      </c>
      <c r="O98" t="s">
        <v>436</v>
      </c>
      <c r="P98">
        <v>69.5</v>
      </c>
      <c r="Q98">
        <v>5</v>
      </c>
      <c r="R98">
        <v>0</v>
      </c>
      <c r="S98">
        <v>20.154999999999994</v>
      </c>
    </row>
    <row r="99" spans="1:19" x14ac:dyDescent="0.25">
      <c r="A99" t="s">
        <v>427</v>
      </c>
      <c r="B99" s="4">
        <v>44276</v>
      </c>
      <c r="C99" t="s">
        <v>55</v>
      </c>
      <c r="D99" t="s">
        <v>428</v>
      </c>
      <c r="E99" t="s">
        <v>429</v>
      </c>
      <c r="F99" t="s">
        <v>66</v>
      </c>
      <c r="G99" t="s">
        <v>39</v>
      </c>
      <c r="H99" t="s">
        <v>430</v>
      </c>
      <c r="I99" t="s">
        <v>431</v>
      </c>
      <c r="J99">
        <v>7501</v>
      </c>
      <c r="K99" t="s">
        <v>60</v>
      </c>
      <c r="L99" t="s">
        <v>437</v>
      </c>
      <c r="M99" t="s">
        <v>44</v>
      </c>
      <c r="N99" t="s">
        <v>152</v>
      </c>
      <c r="O99" t="s">
        <v>438</v>
      </c>
      <c r="P99">
        <v>166.44</v>
      </c>
      <c r="Q99">
        <v>3</v>
      </c>
      <c r="R99">
        <v>0</v>
      </c>
      <c r="S99">
        <v>79.891199999999998</v>
      </c>
    </row>
    <row r="100" spans="1:19" x14ac:dyDescent="0.25">
      <c r="A100" t="s">
        <v>439</v>
      </c>
      <c r="B100" s="4">
        <v>44257</v>
      </c>
      <c r="C100" t="s">
        <v>73</v>
      </c>
      <c r="D100" t="s">
        <v>440</v>
      </c>
      <c r="E100" t="s">
        <v>441</v>
      </c>
      <c r="F100" t="s">
        <v>66</v>
      </c>
      <c r="G100" t="s">
        <v>39</v>
      </c>
      <c r="H100" t="s">
        <v>40</v>
      </c>
      <c r="I100" t="s">
        <v>41</v>
      </c>
      <c r="J100">
        <v>77036</v>
      </c>
      <c r="K100" t="s">
        <v>42</v>
      </c>
      <c r="L100" t="s">
        <v>442</v>
      </c>
      <c r="M100" t="s">
        <v>44</v>
      </c>
      <c r="N100" t="s">
        <v>70</v>
      </c>
      <c r="O100" t="s">
        <v>443</v>
      </c>
      <c r="P100">
        <v>294.61999999999995</v>
      </c>
      <c r="Q100">
        <v>5</v>
      </c>
      <c r="R100">
        <v>0.8</v>
      </c>
      <c r="S100">
        <v>-766.01199999999994</v>
      </c>
    </row>
    <row r="101" spans="1:19" x14ac:dyDescent="0.25">
      <c r="A101" t="s">
        <v>439</v>
      </c>
      <c r="B101" s="4">
        <v>44257</v>
      </c>
      <c r="C101" t="s">
        <v>73</v>
      </c>
      <c r="D101" t="s">
        <v>440</v>
      </c>
      <c r="E101" t="s">
        <v>441</v>
      </c>
      <c r="F101" t="s">
        <v>66</v>
      </c>
      <c r="G101" t="s">
        <v>39</v>
      </c>
      <c r="H101" t="s">
        <v>40</v>
      </c>
      <c r="I101" t="s">
        <v>41</v>
      </c>
      <c r="J101">
        <v>77036</v>
      </c>
      <c r="K101" t="s">
        <v>42</v>
      </c>
      <c r="L101" t="s">
        <v>444</v>
      </c>
      <c r="M101" t="s">
        <v>48</v>
      </c>
      <c r="N101" t="s">
        <v>49</v>
      </c>
      <c r="O101" t="s">
        <v>445</v>
      </c>
      <c r="P101">
        <v>8.7520000000000007</v>
      </c>
      <c r="Q101">
        <v>4</v>
      </c>
      <c r="R101">
        <v>0.6</v>
      </c>
      <c r="S101">
        <v>-3.719599999999998</v>
      </c>
    </row>
    <row r="102" spans="1:19" x14ac:dyDescent="0.25">
      <c r="A102" t="s">
        <v>446</v>
      </c>
      <c r="B102" s="4">
        <v>44280</v>
      </c>
      <c r="C102" t="s">
        <v>73</v>
      </c>
      <c r="D102" t="s">
        <v>447</v>
      </c>
      <c r="E102" t="s">
        <v>448</v>
      </c>
      <c r="F102" t="s">
        <v>66</v>
      </c>
      <c r="G102" t="s">
        <v>39</v>
      </c>
      <c r="H102" t="s">
        <v>449</v>
      </c>
      <c r="I102" t="s">
        <v>450</v>
      </c>
      <c r="J102">
        <v>40214</v>
      </c>
      <c r="K102" t="s">
        <v>406</v>
      </c>
      <c r="L102" t="s">
        <v>451</v>
      </c>
      <c r="M102" t="s">
        <v>44</v>
      </c>
      <c r="N102" t="s">
        <v>52</v>
      </c>
      <c r="O102" t="s">
        <v>452</v>
      </c>
      <c r="P102">
        <v>95.94</v>
      </c>
      <c r="Q102">
        <v>3</v>
      </c>
      <c r="R102">
        <v>0</v>
      </c>
      <c r="S102">
        <v>9.5940000000000012</v>
      </c>
    </row>
    <row r="103" spans="1:19" x14ac:dyDescent="0.25">
      <c r="A103" t="s">
        <v>446</v>
      </c>
      <c r="B103" s="4">
        <v>44280</v>
      </c>
      <c r="C103" t="s">
        <v>73</v>
      </c>
      <c r="D103" t="s">
        <v>447</v>
      </c>
      <c r="E103" t="s">
        <v>448</v>
      </c>
      <c r="F103" t="s">
        <v>66</v>
      </c>
      <c r="G103" t="s">
        <v>39</v>
      </c>
      <c r="H103" t="s">
        <v>449</v>
      </c>
      <c r="I103" t="s">
        <v>450</v>
      </c>
      <c r="J103">
        <v>40214</v>
      </c>
      <c r="K103" t="s">
        <v>406</v>
      </c>
      <c r="L103" t="s">
        <v>453</v>
      </c>
      <c r="M103" t="s">
        <v>48</v>
      </c>
      <c r="N103" t="s">
        <v>168</v>
      </c>
      <c r="O103" t="s">
        <v>454</v>
      </c>
      <c r="P103">
        <v>304.45</v>
      </c>
      <c r="Q103">
        <v>5</v>
      </c>
      <c r="R103">
        <v>0</v>
      </c>
      <c r="S103">
        <v>76.112499999999983</v>
      </c>
    </row>
    <row r="104" spans="1:19" x14ac:dyDescent="0.25">
      <c r="A104" t="s">
        <v>455</v>
      </c>
      <c r="B104" s="4">
        <v>44277</v>
      </c>
      <c r="C104" t="s">
        <v>35</v>
      </c>
      <c r="D104" t="s">
        <v>456</v>
      </c>
      <c r="E104" t="s">
        <v>457</v>
      </c>
      <c r="F104" t="s">
        <v>66</v>
      </c>
      <c r="G104" t="s">
        <v>39</v>
      </c>
      <c r="H104" t="s">
        <v>335</v>
      </c>
      <c r="I104" t="s">
        <v>93</v>
      </c>
      <c r="J104">
        <v>48227</v>
      </c>
      <c r="K104" t="s">
        <v>42</v>
      </c>
      <c r="L104" t="s">
        <v>458</v>
      </c>
      <c r="M104" t="s">
        <v>86</v>
      </c>
      <c r="N104" t="s">
        <v>109</v>
      </c>
      <c r="O104" t="s">
        <v>459</v>
      </c>
      <c r="P104">
        <v>199.95000000000002</v>
      </c>
      <c r="Q104">
        <v>5</v>
      </c>
      <c r="R104">
        <v>0</v>
      </c>
      <c r="S104">
        <v>63.983999999999988</v>
      </c>
    </row>
    <row r="105" spans="1:19" x14ac:dyDescent="0.25">
      <c r="A105" t="s">
        <v>455</v>
      </c>
      <c r="B105" s="4">
        <v>44277</v>
      </c>
      <c r="C105" t="s">
        <v>35</v>
      </c>
      <c r="D105" t="s">
        <v>456</v>
      </c>
      <c r="E105" t="s">
        <v>457</v>
      </c>
      <c r="F105" t="s">
        <v>66</v>
      </c>
      <c r="G105" t="s">
        <v>39</v>
      </c>
      <c r="H105" t="s">
        <v>335</v>
      </c>
      <c r="I105" t="s">
        <v>93</v>
      </c>
      <c r="J105">
        <v>48227</v>
      </c>
      <c r="K105" t="s">
        <v>42</v>
      </c>
      <c r="L105" t="s">
        <v>460</v>
      </c>
      <c r="M105" t="s">
        <v>48</v>
      </c>
      <c r="N105" t="s">
        <v>168</v>
      </c>
      <c r="O105" t="s">
        <v>461</v>
      </c>
      <c r="P105">
        <v>1586.6899999999998</v>
      </c>
      <c r="Q105">
        <v>7</v>
      </c>
      <c r="R105">
        <v>0</v>
      </c>
      <c r="S105">
        <v>412.5394</v>
      </c>
    </row>
    <row r="106" spans="1:19" x14ac:dyDescent="0.25">
      <c r="A106" t="s">
        <v>455</v>
      </c>
      <c r="B106" s="4">
        <v>44277</v>
      </c>
      <c r="C106" t="s">
        <v>35</v>
      </c>
      <c r="D106" t="s">
        <v>456</v>
      </c>
      <c r="E106" t="s">
        <v>457</v>
      </c>
      <c r="F106" t="s">
        <v>66</v>
      </c>
      <c r="G106" t="s">
        <v>39</v>
      </c>
      <c r="H106" t="s">
        <v>335</v>
      </c>
      <c r="I106" t="s">
        <v>93</v>
      </c>
      <c r="J106">
        <v>48227</v>
      </c>
      <c r="K106" t="s">
        <v>42</v>
      </c>
      <c r="L106" t="s">
        <v>462</v>
      </c>
      <c r="M106" t="s">
        <v>86</v>
      </c>
      <c r="N106" t="s">
        <v>109</v>
      </c>
      <c r="O106" t="s">
        <v>463</v>
      </c>
      <c r="P106">
        <v>84.99</v>
      </c>
      <c r="Q106">
        <v>1</v>
      </c>
      <c r="R106">
        <v>0</v>
      </c>
      <c r="S106">
        <v>30.596399999999996</v>
      </c>
    </row>
    <row r="107" spans="1:19" x14ac:dyDescent="0.25">
      <c r="A107" t="s">
        <v>455</v>
      </c>
      <c r="B107" s="4">
        <v>44277</v>
      </c>
      <c r="C107" t="s">
        <v>35</v>
      </c>
      <c r="D107" t="s">
        <v>456</v>
      </c>
      <c r="E107" t="s">
        <v>457</v>
      </c>
      <c r="F107" t="s">
        <v>66</v>
      </c>
      <c r="G107" t="s">
        <v>39</v>
      </c>
      <c r="H107" t="s">
        <v>335</v>
      </c>
      <c r="I107" t="s">
        <v>93</v>
      </c>
      <c r="J107">
        <v>48227</v>
      </c>
      <c r="K107" t="s">
        <v>42</v>
      </c>
      <c r="L107" t="s">
        <v>464</v>
      </c>
      <c r="M107" t="s">
        <v>48</v>
      </c>
      <c r="N107" t="s">
        <v>155</v>
      </c>
      <c r="O107" t="s">
        <v>465</v>
      </c>
      <c r="P107">
        <v>411.8</v>
      </c>
      <c r="Q107">
        <v>2</v>
      </c>
      <c r="R107">
        <v>0</v>
      </c>
      <c r="S107">
        <v>70.005999999999972</v>
      </c>
    </row>
    <row r="108" spans="1:19" x14ac:dyDescent="0.25">
      <c r="A108" t="s">
        <v>466</v>
      </c>
      <c r="B108" s="4">
        <v>44256</v>
      </c>
      <c r="C108" t="s">
        <v>55</v>
      </c>
      <c r="D108" t="s">
        <v>467</v>
      </c>
      <c r="E108" t="s">
        <v>468</v>
      </c>
      <c r="F108" t="s">
        <v>218</v>
      </c>
      <c r="G108" t="s">
        <v>39</v>
      </c>
      <c r="H108" t="s">
        <v>323</v>
      </c>
      <c r="I108" t="s">
        <v>324</v>
      </c>
      <c r="J108">
        <v>19143</v>
      </c>
      <c r="K108" t="s">
        <v>60</v>
      </c>
      <c r="L108" t="s">
        <v>469</v>
      </c>
      <c r="M108" t="s">
        <v>44</v>
      </c>
      <c r="N108" t="s">
        <v>123</v>
      </c>
      <c r="O108" t="s">
        <v>470</v>
      </c>
      <c r="P108">
        <v>104.68000000000002</v>
      </c>
      <c r="Q108">
        <v>5</v>
      </c>
      <c r="R108">
        <v>0.2</v>
      </c>
      <c r="S108">
        <v>35.329499999999996</v>
      </c>
    </row>
    <row r="109" spans="1:19" x14ac:dyDescent="0.25">
      <c r="A109" t="s">
        <v>466</v>
      </c>
      <c r="B109" s="4">
        <v>44256</v>
      </c>
      <c r="C109" t="s">
        <v>55</v>
      </c>
      <c r="D109" t="s">
        <v>467</v>
      </c>
      <c r="E109" t="s">
        <v>468</v>
      </c>
      <c r="F109" t="s">
        <v>218</v>
      </c>
      <c r="G109" t="s">
        <v>39</v>
      </c>
      <c r="H109" t="s">
        <v>323</v>
      </c>
      <c r="I109" t="s">
        <v>324</v>
      </c>
      <c r="J109">
        <v>19143</v>
      </c>
      <c r="K109" t="s">
        <v>60</v>
      </c>
      <c r="L109" t="s">
        <v>471</v>
      </c>
      <c r="M109" t="s">
        <v>86</v>
      </c>
      <c r="N109" t="s">
        <v>87</v>
      </c>
      <c r="O109" t="s">
        <v>472</v>
      </c>
      <c r="P109">
        <v>62.957999999999998</v>
      </c>
      <c r="Q109">
        <v>7</v>
      </c>
      <c r="R109">
        <v>0.4</v>
      </c>
      <c r="S109">
        <v>9.4436999999999998</v>
      </c>
    </row>
    <row r="110" spans="1:19" x14ac:dyDescent="0.25">
      <c r="A110" t="s">
        <v>473</v>
      </c>
      <c r="B110" s="4">
        <v>44260</v>
      </c>
      <c r="C110" t="s">
        <v>55</v>
      </c>
      <c r="D110" t="s">
        <v>474</v>
      </c>
      <c r="E110" t="s">
        <v>475</v>
      </c>
      <c r="F110" t="s">
        <v>38</v>
      </c>
      <c r="G110" t="s">
        <v>39</v>
      </c>
      <c r="H110" t="s">
        <v>263</v>
      </c>
      <c r="I110" t="s">
        <v>476</v>
      </c>
      <c r="J110" t="s">
        <v>477</v>
      </c>
      <c r="K110" t="s">
        <v>60</v>
      </c>
      <c r="L110" t="s">
        <v>478</v>
      </c>
      <c r="M110" t="s">
        <v>86</v>
      </c>
      <c r="N110" t="s">
        <v>109</v>
      </c>
      <c r="O110" t="s">
        <v>479</v>
      </c>
      <c r="P110">
        <v>205.03</v>
      </c>
      <c r="Q110">
        <v>7</v>
      </c>
      <c r="R110">
        <v>0</v>
      </c>
      <c r="S110">
        <v>67.659899999999979</v>
      </c>
    </row>
    <row r="111" spans="1:19" x14ac:dyDescent="0.25">
      <c r="A111" t="s">
        <v>480</v>
      </c>
      <c r="B111" s="4">
        <v>44275</v>
      </c>
      <c r="C111" t="s">
        <v>55</v>
      </c>
      <c r="D111" t="s">
        <v>481</v>
      </c>
      <c r="E111" t="s">
        <v>482</v>
      </c>
      <c r="F111" t="s">
        <v>38</v>
      </c>
      <c r="G111" t="s">
        <v>39</v>
      </c>
      <c r="H111" t="s">
        <v>483</v>
      </c>
      <c r="I111" t="s">
        <v>59</v>
      </c>
      <c r="J111">
        <v>14609</v>
      </c>
      <c r="K111" t="s">
        <v>60</v>
      </c>
      <c r="L111" t="s">
        <v>484</v>
      </c>
      <c r="M111" t="s">
        <v>44</v>
      </c>
      <c r="N111" t="s">
        <v>152</v>
      </c>
      <c r="O111" t="s">
        <v>485</v>
      </c>
      <c r="P111">
        <v>6.48</v>
      </c>
      <c r="Q111">
        <v>1</v>
      </c>
      <c r="R111">
        <v>0</v>
      </c>
      <c r="S111">
        <v>3.1104000000000003</v>
      </c>
    </row>
    <row r="112" spans="1:19" x14ac:dyDescent="0.25">
      <c r="A112" t="s">
        <v>480</v>
      </c>
      <c r="B112" s="4">
        <v>44275</v>
      </c>
      <c r="C112" t="s">
        <v>55</v>
      </c>
      <c r="D112" t="s">
        <v>481</v>
      </c>
      <c r="E112" t="s">
        <v>482</v>
      </c>
      <c r="F112" t="s">
        <v>38</v>
      </c>
      <c r="G112" t="s">
        <v>39</v>
      </c>
      <c r="H112" t="s">
        <v>483</v>
      </c>
      <c r="I112" t="s">
        <v>59</v>
      </c>
      <c r="J112">
        <v>14609</v>
      </c>
      <c r="K112" t="s">
        <v>60</v>
      </c>
      <c r="L112" t="s">
        <v>486</v>
      </c>
      <c r="M112" t="s">
        <v>44</v>
      </c>
      <c r="N112" t="s">
        <v>45</v>
      </c>
      <c r="O112" t="s">
        <v>487</v>
      </c>
      <c r="P112">
        <v>6.9840000000000009</v>
      </c>
      <c r="Q112">
        <v>1</v>
      </c>
      <c r="R112">
        <v>0.2</v>
      </c>
      <c r="S112">
        <v>2.3570999999999991</v>
      </c>
    </row>
    <row r="113" spans="1:19" x14ac:dyDescent="0.25">
      <c r="A113" t="s">
        <v>488</v>
      </c>
      <c r="B113" s="4">
        <v>44257</v>
      </c>
      <c r="C113" t="s">
        <v>55</v>
      </c>
      <c r="D113" t="s">
        <v>489</v>
      </c>
      <c r="E113" t="s">
        <v>490</v>
      </c>
      <c r="F113" t="s">
        <v>38</v>
      </c>
      <c r="G113" t="s">
        <v>39</v>
      </c>
      <c r="H113" t="s">
        <v>491</v>
      </c>
      <c r="I113" t="s">
        <v>405</v>
      </c>
      <c r="J113">
        <v>33180</v>
      </c>
      <c r="K113" t="s">
        <v>406</v>
      </c>
      <c r="L113" t="s">
        <v>492</v>
      </c>
      <c r="M113" t="s">
        <v>44</v>
      </c>
      <c r="N113" t="s">
        <v>175</v>
      </c>
      <c r="O113" t="s">
        <v>493</v>
      </c>
      <c r="P113">
        <v>47.96</v>
      </c>
      <c r="Q113">
        <v>5</v>
      </c>
      <c r="R113">
        <v>0.2</v>
      </c>
      <c r="S113">
        <v>4.196499999999995</v>
      </c>
    </row>
    <row r="114" spans="1:19" x14ac:dyDescent="0.25">
      <c r="A114" t="s">
        <v>494</v>
      </c>
      <c r="B114" s="4">
        <v>44278</v>
      </c>
      <c r="C114" t="s">
        <v>55</v>
      </c>
      <c r="D114" t="s">
        <v>495</v>
      </c>
      <c r="E114" t="s">
        <v>496</v>
      </c>
      <c r="F114" t="s">
        <v>38</v>
      </c>
      <c r="G114" t="s">
        <v>39</v>
      </c>
      <c r="H114" t="s">
        <v>497</v>
      </c>
      <c r="I114" t="s">
        <v>498</v>
      </c>
      <c r="J114">
        <v>6457</v>
      </c>
      <c r="K114" t="s">
        <v>60</v>
      </c>
      <c r="L114" t="s">
        <v>499</v>
      </c>
      <c r="M114" t="s">
        <v>48</v>
      </c>
      <c r="N114" t="s">
        <v>49</v>
      </c>
      <c r="O114" t="s">
        <v>500</v>
      </c>
      <c r="P114">
        <v>181.95</v>
      </c>
      <c r="Q114">
        <v>3</v>
      </c>
      <c r="R114">
        <v>0</v>
      </c>
      <c r="S114">
        <v>38.209499999999998</v>
      </c>
    </row>
    <row r="115" spans="1:19" x14ac:dyDescent="0.25">
      <c r="A115" t="s">
        <v>501</v>
      </c>
      <c r="B115" s="4">
        <v>44265</v>
      </c>
      <c r="C115" t="s">
        <v>238</v>
      </c>
      <c r="D115" t="s">
        <v>502</v>
      </c>
      <c r="E115" t="s">
        <v>503</v>
      </c>
      <c r="F115" t="s">
        <v>66</v>
      </c>
      <c r="G115" t="s">
        <v>39</v>
      </c>
      <c r="H115" t="s">
        <v>315</v>
      </c>
      <c r="I115" t="s">
        <v>498</v>
      </c>
      <c r="J115">
        <v>6824</v>
      </c>
      <c r="K115" t="s">
        <v>60</v>
      </c>
      <c r="L115" t="s">
        <v>504</v>
      </c>
      <c r="M115" t="s">
        <v>44</v>
      </c>
      <c r="N115" t="s">
        <v>123</v>
      </c>
      <c r="O115" t="s">
        <v>505</v>
      </c>
      <c r="P115">
        <v>10.86</v>
      </c>
      <c r="Q115">
        <v>3</v>
      </c>
      <c r="R115">
        <v>0</v>
      </c>
      <c r="S115">
        <v>5.1042000000000005</v>
      </c>
    </row>
    <row r="116" spans="1:19" x14ac:dyDescent="0.25">
      <c r="A116" t="s">
        <v>501</v>
      </c>
      <c r="B116" s="4">
        <v>44265</v>
      </c>
      <c r="C116" t="s">
        <v>238</v>
      </c>
      <c r="D116" t="s">
        <v>502</v>
      </c>
      <c r="E116" t="s">
        <v>503</v>
      </c>
      <c r="F116" t="s">
        <v>66</v>
      </c>
      <c r="G116" t="s">
        <v>39</v>
      </c>
      <c r="H116" t="s">
        <v>315</v>
      </c>
      <c r="I116" t="s">
        <v>498</v>
      </c>
      <c r="J116">
        <v>6824</v>
      </c>
      <c r="K116" t="s">
        <v>60</v>
      </c>
      <c r="L116" t="s">
        <v>506</v>
      </c>
      <c r="M116" t="s">
        <v>44</v>
      </c>
      <c r="N116" t="s">
        <v>70</v>
      </c>
      <c r="O116" t="s">
        <v>507</v>
      </c>
      <c r="P116">
        <v>426.78999999999996</v>
      </c>
      <c r="Q116">
        <v>7</v>
      </c>
      <c r="R116">
        <v>0</v>
      </c>
      <c r="S116">
        <v>123.76909999999995</v>
      </c>
    </row>
    <row r="117" spans="1:19" x14ac:dyDescent="0.25">
      <c r="A117" t="s">
        <v>508</v>
      </c>
      <c r="B117" s="4">
        <v>44257</v>
      </c>
      <c r="C117" t="s">
        <v>238</v>
      </c>
      <c r="D117" t="s">
        <v>509</v>
      </c>
      <c r="E117" t="s">
        <v>510</v>
      </c>
      <c r="F117" t="s">
        <v>38</v>
      </c>
      <c r="G117" t="s">
        <v>39</v>
      </c>
      <c r="H117" t="s">
        <v>173</v>
      </c>
      <c r="I117" t="s">
        <v>83</v>
      </c>
      <c r="J117">
        <v>90032</v>
      </c>
      <c r="K117" t="s">
        <v>84</v>
      </c>
      <c r="L117" t="s">
        <v>511</v>
      </c>
      <c r="M117" t="s">
        <v>44</v>
      </c>
      <c r="N117" t="s">
        <v>45</v>
      </c>
      <c r="O117" t="s">
        <v>512</v>
      </c>
      <c r="P117">
        <v>9.0240000000000009</v>
      </c>
      <c r="Q117">
        <v>6</v>
      </c>
      <c r="R117">
        <v>0.2</v>
      </c>
      <c r="S117">
        <v>3.1583999999999985</v>
      </c>
    </row>
    <row r="118" spans="1:19" x14ac:dyDescent="0.25">
      <c r="A118" t="s">
        <v>508</v>
      </c>
      <c r="B118" s="4">
        <v>44257</v>
      </c>
      <c r="C118" t="s">
        <v>238</v>
      </c>
      <c r="D118" t="s">
        <v>509</v>
      </c>
      <c r="E118" t="s">
        <v>510</v>
      </c>
      <c r="F118" t="s">
        <v>38</v>
      </c>
      <c r="G118" t="s">
        <v>39</v>
      </c>
      <c r="H118" t="s">
        <v>173</v>
      </c>
      <c r="I118" t="s">
        <v>83</v>
      </c>
      <c r="J118">
        <v>90032</v>
      </c>
      <c r="K118" t="s">
        <v>84</v>
      </c>
      <c r="L118" t="s">
        <v>513</v>
      </c>
      <c r="M118" t="s">
        <v>44</v>
      </c>
      <c r="N118" t="s">
        <v>45</v>
      </c>
      <c r="O118" t="s">
        <v>514</v>
      </c>
      <c r="P118">
        <v>69.456000000000003</v>
      </c>
      <c r="Q118">
        <v>2</v>
      </c>
      <c r="R118">
        <v>0.2</v>
      </c>
      <c r="S118">
        <v>22.573199999999996</v>
      </c>
    </row>
    <row r="119" spans="1:19" x14ac:dyDescent="0.25">
      <c r="A119" t="s">
        <v>508</v>
      </c>
      <c r="B119" s="4">
        <v>44257</v>
      </c>
      <c r="C119" t="s">
        <v>238</v>
      </c>
      <c r="D119" t="s">
        <v>509</v>
      </c>
      <c r="E119" t="s">
        <v>510</v>
      </c>
      <c r="F119" t="s">
        <v>38</v>
      </c>
      <c r="G119" t="s">
        <v>39</v>
      </c>
      <c r="H119" t="s">
        <v>173</v>
      </c>
      <c r="I119" t="s">
        <v>83</v>
      </c>
      <c r="J119">
        <v>90032</v>
      </c>
      <c r="K119" t="s">
        <v>84</v>
      </c>
      <c r="L119" t="s">
        <v>151</v>
      </c>
      <c r="M119" t="s">
        <v>44</v>
      </c>
      <c r="N119" t="s">
        <v>152</v>
      </c>
      <c r="O119" t="s">
        <v>153</v>
      </c>
      <c r="P119">
        <v>10.86</v>
      </c>
      <c r="Q119">
        <v>2</v>
      </c>
      <c r="R119">
        <v>0</v>
      </c>
      <c r="S119">
        <v>5.3213999999999997</v>
      </c>
    </row>
    <row r="120" spans="1:19" x14ac:dyDescent="0.25">
      <c r="A120" t="s">
        <v>508</v>
      </c>
      <c r="B120" s="4">
        <v>44257</v>
      </c>
      <c r="C120" t="s">
        <v>238</v>
      </c>
      <c r="D120" t="s">
        <v>509</v>
      </c>
      <c r="E120" t="s">
        <v>510</v>
      </c>
      <c r="F120" t="s">
        <v>38</v>
      </c>
      <c r="G120" t="s">
        <v>39</v>
      </c>
      <c r="H120" t="s">
        <v>173</v>
      </c>
      <c r="I120" t="s">
        <v>83</v>
      </c>
      <c r="J120">
        <v>90032</v>
      </c>
      <c r="K120" t="s">
        <v>84</v>
      </c>
      <c r="L120" t="s">
        <v>515</v>
      </c>
      <c r="M120" t="s">
        <v>44</v>
      </c>
      <c r="N120" t="s">
        <v>70</v>
      </c>
      <c r="O120" t="s">
        <v>516</v>
      </c>
      <c r="P120">
        <v>79.47</v>
      </c>
      <c r="Q120">
        <v>3</v>
      </c>
      <c r="R120">
        <v>0</v>
      </c>
      <c r="S120">
        <v>22.251600000000003</v>
      </c>
    </row>
    <row r="121" spans="1:19" x14ac:dyDescent="0.25">
      <c r="A121" t="s">
        <v>508</v>
      </c>
      <c r="B121" s="4">
        <v>44257</v>
      </c>
      <c r="C121" t="s">
        <v>238</v>
      </c>
      <c r="D121" t="s">
        <v>509</v>
      </c>
      <c r="E121" t="s">
        <v>510</v>
      </c>
      <c r="F121" t="s">
        <v>38</v>
      </c>
      <c r="G121" t="s">
        <v>39</v>
      </c>
      <c r="H121" t="s">
        <v>173</v>
      </c>
      <c r="I121" t="s">
        <v>83</v>
      </c>
      <c r="J121">
        <v>90032</v>
      </c>
      <c r="K121" t="s">
        <v>84</v>
      </c>
      <c r="L121" t="s">
        <v>517</v>
      </c>
      <c r="M121" t="s">
        <v>44</v>
      </c>
      <c r="N121" t="s">
        <v>175</v>
      </c>
      <c r="O121" t="s">
        <v>518</v>
      </c>
      <c r="P121">
        <v>10.08</v>
      </c>
      <c r="Q121">
        <v>6</v>
      </c>
      <c r="R121">
        <v>0</v>
      </c>
      <c r="S121">
        <v>5.04</v>
      </c>
    </row>
    <row r="122" spans="1:19" x14ac:dyDescent="0.25">
      <c r="A122" t="s">
        <v>519</v>
      </c>
      <c r="B122" s="4">
        <v>44280</v>
      </c>
      <c r="C122" t="s">
        <v>55</v>
      </c>
      <c r="D122" t="s">
        <v>520</v>
      </c>
      <c r="E122" t="s">
        <v>521</v>
      </c>
      <c r="F122" t="s">
        <v>66</v>
      </c>
      <c r="G122" t="s">
        <v>39</v>
      </c>
      <c r="H122" t="s">
        <v>315</v>
      </c>
      <c r="I122" t="s">
        <v>119</v>
      </c>
      <c r="J122">
        <v>45014</v>
      </c>
      <c r="K122" t="s">
        <v>60</v>
      </c>
      <c r="L122" t="s">
        <v>522</v>
      </c>
      <c r="M122" t="s">
        <v>86</v>
      </c>
      <c r="N122" t="s">
        <v>109</v>
      </c>
      <c r="O122" t="s">
        <v>523</v>
      </c>
      <c r="P122">
        <v>158.928</v>
      </c>
      <c r="Q122">
        <v>7</v>
      </c>
      <c r="R122">
        <v>0.2</v>
      </c>
      <c r="S122">
        <v>41.718599999999995</v>
      </c>
    </row>
    <row r="123" spans="1:19" x14ac:dyDescent="0.25">
      <c r="A123" t="s">
        <v>519</v>
      </c>
      <c r="B123" s="4">
        <v>44280</v>
      </c>
      <c r="C123" t="s">
        <v>55</v>
      </c>
      <c r="D123" t="s">
        <v>520</v>
      </c>
      <c r="E123" t="s">
        <v>521</v>
      </c>
      <c r="F123" t="s">
        <v>66</v>
      </c>
      <c r="G123" t="s">
        <v>39</v>
      </c>
      <c r="H123" t="s">
        <v>315</v>
      </c>
      <c r="I123" t="s">
        <v>119</v>
      </c>
      <c r="J123">
        <v>45014</v>
      </c>
      <c r="K123" t="s">
        <v>60</v>
      </c>
      <c r="L123" t="s">
        <v>513</v>
      </c>
      <c r="M123" t="s">
        <v>44</v>
      </c>
      <c r="N123" t="s">
        <v>45</v>
      </c>
      <c r="O123" t="s">
        <v>514</v>
      </c>
      <c r="P123">
        <v>13.023000000000001</v>
      </c>
      <c r="Q123">
        <v>1</v>
      </c>
      <c r="R123">
        <v>0.7</v>
      </c>
      <c r="S123">
        <v>-10.418399999999998</v>
      </c>
    </row>
    <row r="124" spans="1:19" x14ac:dyDescent="0.25">
      <c r="A124" t="s">
        <v>519</v>
      </c>
      <c r="B124" s="4">
        <v>44280</v>
      </c>
      <c r="C124" t="s">
        <v>55</v>
      </c>
      <c r="D124" t="s">
        <v>520</v>
      </c>
      <c r="E124" t="s">
        <v>521</v>
      </c>
      <c r="F124" t="s">
        <v>66</v>
      </c>
      <c r="G124" t="s">
        <v>39</v>
      </c>
      <c r="H124" t="s">
        <v>315</v>
      </c>
      <c r="I124" t="s">
        <v>119</v>
      </c>
      <c r="J124">
        <v>45014</v>
      </c>
      <c r="K124" t="s">
        <v>60</v>
      </c>
      <c r="L124" t="s">
        <v>524</v>
      </c>
      <c r="M124" t="s">
        <v>48</v>
      </c>
      <c r="N124" t="s">
        <v>155</v>
      </c>
      <c r="O124" t="s">
        <v>525</v>
      </c>
      <c r="P124">
        <v>273.06</v>
      </c>
      <c r="Q124">
        <v>2</v>
      </c>
      <c r="R124">
        <v>0.4</v>
      </c>
      <c r="S124">
        <v>-104.67300000000006</v>
      </c>
    </row>
    <row r="125" spans="1:19" x14ac:dyDescent="0.25">
      <c r="A125" t="s">
        <v>519</v>
      </c>
      <c r="B125" s="4">
        <v>44280</v>
      </c>
      <c r="C125" t="s">
        <v>55</v>
      </c>
      <c r="D125" t="s">
        <v>520</v>
      </c>
      <c r="E125" t="s">
        <v>521</v>
      </c>
      <c r="F125" t="s">
        <v>66</v>
      </c>
      <c r="G125" t="s">
        <v>39</v>
      </c>
      <c r="H125" t="s">
        <v>315</v>
      </c>
      <c r="I125" t="s">
        <v>119</v>
      </c>
      <c r="J125">
        <v>45014</v>
      </c>
      <c r="K125" t="s">
        <v>60</v>
      </c>
      <c r="L125" t="s">
        <v>526</v>
      </c>
      <c r="M125" t="s">
        <v>44</v>
      </c>
      <c r="N125" t="s">
        <v>101</v>
      </c>
      <c r="O125" t="s">
        <v>527</v>
      </c>
      <c r="P125">
        <v>39.311999999999998</v>
      </c>
      <c r="Q125">
        <v>13</v>
      </c>
      <c r="R125">
        <v>0.2</v>
      </c>
      <c r="S125">
        <v>12.776399999999999</v>
      </c>
    </row>
    <row r="126" spans="1:19" x14ac:dyDescent="0.25">
      <c r="A126" t="s">
        <v>528</v>
      </c>
      <c r="B126" s="4">
        <v>44283</v>
      </c>
      <c r="C126" t="s">
        <v>55</v>
      </c>
      <c r="D126" t="s">
        <v>529</v>
      </c>
      <c r="E126" t="s">
        <v>530</v>
      </c>
      <c r="F126" t="s">
        <v>38</v>
      </c>
      <c r="G126" t="s">
        <v>39</v>
      </c>
      <c r="H126" t="s">
        <v>531</v>
      </c>
      <c r="I126" t="s">
        <v>532</v>
      </c>
      <c r="J126">
        <v>98103</v>
      </c>
      <c r="K126" t="s">
        <v>84</v>
      </c>
      <c r="L126" t="s">
        <v>533</v>
      </c>
      <c r="M126" t="s">
        <v>48</v>
      </c>
      <c r="N126" t="s">
        <v>49</v>
      </c>
      <c r="O126" t="s">
        <v>534</v>
      </c>
      <c r="P126">
        <v>7.4</v>
      </c>
      <c r="Q126">
        <v>2</v>
      </c>
      <c r="R126">
        <v>0</v>
      </c>
      <c r="S126">
        <v>3.0340000000000007</v>
      </c>
    </row>
    <row r="127" spans="1:19" x14ac:dyDescent="0.25">
      <c r="A127" t="s">
        <v>535</v>
      </c>
      <c r="B127" s="4">
        <v>44258</v>
      </c>
      <c r="C127" t="s">
        <v>55</v>
      </c>
      <c r="D127" t="s">
        <v>536</v>
      </c>
      <c r="E127" t="s">
        <v>537</v>
      </c>
      <c r="F127" t="s">
        <v>66</v>
      </c>
      <c r="G127" t="s">
        <v>39</v>
      </c>
      <c r="H127" t="s">
        <v>58</v>
      </c>
      <c r="I127" t="s">
        <v>59</v>
      </c>
      <c r="J127">
        <v>10009</v>
      </c>
      <c r="K127" t="s">
        <v>60</v>
      </c>
      <c r="L127" t="s">
        <v>538</v>
      </c>
      <c r="M127" t="s">
        <v>44</v>
      </c>
      <c r="N127" t="s">
        <v>45</v>
      </c>
      <c r="O127" t="s">
        <v>539</v>
      </c>
      <c r="P127">
        <v>83.920000000000016</v>
      </c>
      <c r="Q127">
        <v>5</v>
      </c>
      <c r="R127">
        <v>0.2</v>
      </c>
      <c r="S127">
        <v>29.371999999999993</v>
      </c>
    </row>
    <row r="128" spans="1:19" x14ac:dyDescent="0.25">
      <c r="A128" t="s">
        <v>535</v>
      </c>
      <c r="B128" s="4">
        <v>44258</v>
      </c>
      <c r="C128" t="s">
        <v>55</v>
      </c>
      <c r="D128" t="s">
        <v>536</v>
      </c>
      <c r="E128" t="s">
        <v>537</v>
      </c>
      <c r="F128" t="s">
        <v>66</v>
      </c>
      <c r="G128" t="s">
        <v>39</v>
      </c>
      <c r="H128" t="s">
        <v>58</v>
      </c>
      <c r="I128" t="s">
        <v>59</v>
      </c>
      <c r="J128">
        <v>10009</v>
      </c>
      <c r="K128" t="s">
        <v>60</v>
      </c>
      <c r="L128" t="s">
        <v>540</v>
      </c>
      <c r="M128" t="s">
        <v>44</v>
      </c>
      <c r="N128" t="s">
        <v>45</v>
      </c>
      <c r="O128" t="s">
        <v>541</v>
      </c>
      <c r="P128">
        <v>14.624000000000002</v>
      </c>
      <c r="Q128">
        <v>2</v>
      </c>
      <c r="R128">
        <v>0.2</v>
      </c>
      <c r="S128">
        <v>5.1183999999999994</v>
      </c>
    </row>
    <row r="129" spans="1:19" x14ac:dyDescent="0.25">
      <c r="A129" t="s">
        <v>535</v>
      </c>
      <c r="B129" s="4">
        <v>44258</v>
      </c>
      <c r="C129" t="s">
        <v>55</v>
      </c>
      <c r="D129" t="s">
        <v>536</v>
      </c>
      <c r="E129" t="s">
        <v>537</v>
      </c>
      <c r="F129" t="s">
        <v>66</v>
      </c>
      <c r="G129" t="s">
        <v>39</v>
      </c>
      <c r="H129" t="s">
        <v>58</v>
      </c>
      <c r="I129" t="s">
        <v>59</v>
      </c>
      <c r="J129">
        <v>10009</v>
      </c>
      <c r="K129" t="s">
        <v>60</v>
      </c>
      <c r="L129" t="s">
        <v>542</v>
      </c>
      <c r="M129" t="s">
        <v>86</v>
      </c>
      <c r="N129" t="s">
        <v>87</v>
      </c>
      <c r="O129" t="s">
        <v>543</v>
      </c>
      <c r="P129">
        <v>136.99</v>
      </c>
      <c r="Q129">
        <v>1</v>
      </c>
      <c r="R129">
        <v>0</v>
      </c>
      <c r="S129">
        <v>36.987300000000005</v>
      </c>
    </row>
    <row r="130" spans="1:19" x14ac:dyDescent="0.25">
      <c r="A130" t="s">
        <v>535</v>
      </c>
      <c r="B130" s="4">
        <v>44258</v>
      </c>
      <c r="C130" t="s">
        <v>55</v>
      </c>
      <c r="D130" t="s">
        <v>536</v>
      </c>
      <c r="E130" t="s">
        <v>537</v>
      </c>
      <c r="F130" t="s">
        <v>66</v>
      </c>
      <c r="G130" t="s">
        <v>39</v>
      </c>
      <c r="H130" t="s">
        <v>58</v>
      </c>
      <c r="I130" t="s">
        <v>59</v>
      </c>
      <c r="J130">
        <v>10009</v>
      </c>
      <c r="K130" t="s">
        <v>60</v>
      </c>
      <c r="L130" t="s">
        <v>544</v>
      </c>
      <c r="M130" t="s">
        <v>44</v>
      </c>
      <c r="N130" t="s">
        <v>160</v>
      </c>
      <c r="O130" t="s">
        <v>545</v>
      </c>
      <c r="P130">
        <v>3.15</v>
      </c>
      <c r="Q130">
        <v>1</v>
      </c>
      <c r="R130">
        <v>0</v>
      </c>
      <c r="S130">
        <v>1.512</v>
      </c>
    </row>
    <row r="131" spans="1:19" x14ac:dyDescent="0.25">
      <c r="A131" t="s">
        <v>546</v>
      </c>
      <c r="B131" s="4">
        <v>44279</v>
      </c>
      <c r="C131" t="s">
        <v>55</v>
      </c>
      <c r="D131" t="s">
        <v>547</v>
      </c>
      <c r="E131" t="s">
        <v>548</v>
      </c>
      <c r="F131" t="s">
        <v>66</v>
      </c>
      <c r="G131" t="s">
        <v>39</v>
      </c>
      <c r="H131" t="s">
        <v>531</v>
      </c>
      <c r="I131" t="s">
        <v>532</v>
      </c>
      <c r="J131">
        <v>98105</v>
      </c>
      <c r="K131" t="s">
        <v>84</v>
      </c>
      <c r="L131" t="s">
        <v>549</v>
      </c>
      <c r="M131" t="s">
        <v>44</v>
      </c>
      <c r="N131" t="s">
        <v>52</v>
      </c>
      <c r="O131" t="s">
        <v>550</v>
      </c>
      <c r="P131">
        <v>1003.6200000000001</v>
      </c>
      <c r="Q131">
        <v>6</v>
      </c>
      <c r="R131">
        <v>0</v>
      </c>
      <c r="S131">
        <v>0</v>
      </c>
    </row>
    <row r="132" spans="1:19" x14ac:dyDescent="0.25">
      <c r="A132" t="s">
        <v>551</v>
      </c>
      <c r="B132" s="4">
        <v>44257</v>
      </c>
      <c r="C132" t="s">
        <v>55</v>
      </c>
      <c r="D132" t="s">
        <v>552</v>
      </c>
      <c r="E132" t="s">
        <v>553</v>
      </c>
      <c r="F132" t="s">
        <v>218</v>
      </c>
      <c r="G132" t="s">
        <v>39</v>
      </c>
      <c r="H132" t="s">
        <v>554</v>
      </c>
      <c r="I132" t="s">
        <v>405</v>
      </c>
      <c r="J132">
        <v>33614</v>
      </c>
      <c r="K132" t="s">
        <v>406</v>
      </c>
      <c r="L132" t="s">
        <v>555</v>
      </c>
      <c r="M132" t="s">
        <v>44</v>
      </c>
      <c r="N132" t="s">
        <v>45</v>
      </c>
      <c r="O132" t="s">
        <v>556</v>
      </c>
      <c r="P132">
        <v>45.660000000000011</v>
      </c>
      <c r="Q132">
        <v>5</v>
      </c>
      <c r="R132">
        <v>0.7</v>
      </c>
      <c r="S132">
        <v>-33.483999999999995</v>
      </c>
    </row>
    <row r="133" spans="1:19" x14ac:dyDescent="0.25">
      <c r="A133" t="s">
        <v>557</v>
      </c>
      <c r="B133" s="4">
        <v>44276</v>
      </c>
      <c r="C133" t="s">
        <v>35</v>
      </c>
      <c r="D133" t="s">
        <v>558</v>
      </c>
      <c r="E133" t="s">
        <v>559</v>
      </c>
      <c r="F133" t="s">
        <v>66</v>
      </c>
      <c r="G133" t="s">
        <v>39</v>
      </c>
      <c r="H133" t="s">
        <v>560</v>
      </c>
      <c r="I133" t="s">
        <v>450</v>
      </c>
      <c r="J133">
        <v>42104</v>
      </c>
      <c r="K133" t="s">
        <v>406</v>
      </c>
      <c r="L133" t="s">
        <v>325</v>
      </c>
      <c r="M133" t="s">
        <v>86</v>
      </c>
      <c r="N133" t="s">
        <v>109</v>
      </c>
      <c r="O133" t="s">
        <v>326</v>
      </c>
      <c r="P133">
        <v>71</v>
      </c>
      <c r="Q133">
        <v>4</v>
      </c>
      <c r="R133">
        <v>0</v>
      </c>
      <c r="S133">
        <v>27.689999999999998</v>
      </c>
    </row>
    <row r="134" spans="1:19" x14ac:dyDescent="0.25">
      <c r="A134" t="s">
        <v>561</v>
      </c>
      <c r="B134" s="4">
        <v>44282</v>
      </c>
      <c r="C134" t="s">
        <v>238</v>
      </c>
      <c r="D134" t="s">
        <v>562</v>
      </c>
      <c r="E134" t="s">
        <v>563</v>
      </c>
      <c r="F134" t="s">
        <v>38</v>
      </c>
      <c r="G134" t="s">
        <v>39</v>
      </c>
      <c r="H134" t="s">
        <v>564</v>
      </c>
      <c r="I134" t="s">
        <v>119</v>
      </c>
      <c r="J134">
        <v>43055</v>
      </c>
      <c r="K134" t="s">
        <v>60</v>
      </c>
      <c r="L134" t="s">
        <v>542</v>
      </c>
      <c r="M134" t="s">
        <v>86</v>
      </c>
      <c r="N134" t="s">
        <v>87</v>
      </c>
      <c r="O134" t="s">
        <v>543</v>
      </c>
      <c r="P134">
        <v>164.38800000000001</v>
      </c>
      <c r="Q134">
        <v>2</v>
      </c>
      <c r="R134">
        <v>0.4</v>
      </c>
      <c r="S134">
        <v>-35.617400000000004</v>
      </c>
    </row>
    <row r="135" spans="1:19" x14ac:dyDescent="0.25">
      <c r="A135" t="s">
        <v>561</v>
      </c>
      <c r="B135" s="4">
        <v>44282</v>
      </c>
      <c r="C135" t="s">
        <v>238</v>
      </c>
      <c r="D135" t="s">
        <v>562</v>
      </c>
      <c r="E135" t="s">
        <v>563</v>
      </c>
      <c r="F135" t="s">
        <v>38</v>
      </c>
      <c r="G135" t="s">
        <v>39</v>
      </c>
      <c r="H135" t="s">
        <v>564</v>
      </c>
      <c r="I135" t="s">
        <v>119</v>
      </c>
      <c r="J135">
        <v>43055</v>
      </c>
      <c r="K135" t="s">
        <v>60</v>
      </c>
      <c r="L135" t="s">
        <v>565</v>
      </c>
      <c r="M135" t="s">
        <v>44</v>
      </c>
      <c r="N135" t="s">
        <v>175</v>
      </c>
      <c r="O135" t="s">
        <v>566</v>
      </c>
      <c r="P135">
        <v>13.247999999999999</v>
      </c>
      <c r="Q135">
        <v>4</v>
      </c>
      <c r="R135">
        <v>0.2</v>
      </c>
      <c r="S135">
        <v>3.6431999999999998</v>
      </c>
    </row>
    <row r="136" spans="1:19" x14ac:dyDescent="0.25">
      <c r="A136" t="s">
        <v>567</v>
      </c>
      <c r="B136" s="4">
        <v>44277</v>
      </c>
      <c r="C136" t="s">
        <v>55</v>
      </c>
      <c r="D136" t="s">
        <v>568</v>
      </c>
      <c r="E136" t="s">
        <v>569</v>
      </c>
      <c r="F136" t="s">
        <v>38</v>
      </c>
      <c r="G136" t="s">
        <v>39</v>
      </c>
      <c r="H136" t="s">
        <v>570</v>
      </c>
      <c r="I136" t="s">
        <v>571</v>
      </c>
      <c r="J136">
        <v>88220</v>
      </c>
      <c r="K136" t="s">
        <v>84</v>
      </c>
      <c r="L136" t="s">
        <v>572</v>
      </c>
      <c r="M136" t="s">
        <v>44</v>
      </c>
      <c r="N136" t="s">
        <v>175</v>
      </c>
      <c r="O136" t="s">
        <v>573</v>
      </c>
      <c r="P136">
        <v>4.17</v>
      </c>
      <c r="Q136">
        <v>3</v>
      </c>
      <c r="R136">
        <v>0</v>
      </c>
      <c r="S136">
        <v>1.0841999999999998</v>
      </c>
    </row>
    <row r="137" spans="1:19" x14ac:dyDescent="0.25">
      <c r="A137" t="s">
        <v>567</v>
      </c>
      <c r="B137" s="4">
        <v>44277</v>
      </c>
      <c r="C137" t="s">
        <v>55</v>
      </c>
      <c r="D137" t="s">
        <v>568</v>
      </c>
      <c r="E137" t="s">
        <v>569</v>
      </c>
      <c r="F137" t="s">
        <v>38</v>
      </c>
      <c r="G137" t="s">
        <v>39</v>
      </c>
      <c r="H137" t="s">
        <v>570</v>
      </c>
      <c r="I137" t="s">
        <v>571</v>
      </c>
      <c r="J137">
        <v>88220</v>
      </c>
      <c r="K137" t="s">
        <v>84</v>
      </c>
      <c r="L137" t="s">
        <v>574</v>
      </c>
      <c r="M137" t="s">
        <v>86</v>
      </c>
      <c r="N137" t="s">
        <v>87</v>
      </c>
      <c r="O137" t="s">
        <v>575</v>
      </c>
      <c r="P137">
        <v>67.040000000000006</v>
      </c>
      <c r="Q137">
        <v>4</v>
      </c>
      <c r="R137">
        <v>0.2</v>
      </c>
      <c r="S137">
        <v>6.7039999999999971</v>
      </c>
    </row>
    <row r="138" spans="1:19" x14ac:dyDescent="0.25">
      <c r="A138" t="s">
        <v>567</v>
      </c>
      <c r="B138" s="4">
        <v>44277</v>
      </c>
      <c r="C138" t="s">
        <v>55</v>
      </c>
      <c r="D138" t="s">
        <v>568</v>
      </c>
      <c r="E138" t="s">
        <v>569</v>
      </c>
      <c r="F138" t="s">
        <v>38</v>
      </c>
      <c r="G138" t="s">
        <v>39</v>
      </c>
      <c r="H138" t="s">
        <v>570</v>
      </c>
      <c r="I138" t="s">
        <v>571</v>
      </c>
      <c r="J138">
        <v>88220</v>
      </c>
      <c r="K138" t="s">
        <v>84</v>
      </c>
      <c r="L138" t="s">
        <v>576</v>
      </c>
      <c r="M138" t="s">
        <v>44</v>
      </c>
      <c r="N138" t="s">
        <v>52</v>
      </c>
      <c r="O138" t="s">
        <v>577</v>
      </c>
      <c r="P138">
        <v>37.32</v>
      </c>
      <c r="Q138">
        <v>3</v>
      </c>
      <c r="R138">
        <v>0</v>
      </c>
      <c r="S138">
        <v>10.4496</v>
      </c>
    </row>
    <row r="139" spans="1:19" x14ac:dyDescent="0.25">
      <c r="A139" t="s">
        <v>567</v>
      </c>
      <c r="B139" s="4">
        <v>44277</v>
      </c>
      <c r="C139" t="s">
        <v>55</v>
      </c>
      <c r="D139" t="s">
        <v>568</v>
      </c>
      <c r="E139" t="s">
        <v>569</v>
      </c>
      <c r="F139" t="s">
        <v>38</v>
      </c>
      <c r="G139" t="s">
        <v>39</v>
      </c>
      <c r="H139" t="s">
        <v>570</v>
      </c>
      <c r="I139" t="s">
        <v>571</v>
      </c>
      <c r="J139">
        <v>88220</v>
      </c>
      <c r="K139" t="s">
        <v>84</v>
      </c>
      <c r="L139" t="s">
        <v>578</v>
      </c>
      <c r="M139" t="s">
        <v>44</v>
      </c>
      <c r="N139" t="s">
        <v>160</v>
      </c>
      <c r="O139" t="s">
        <v>579</v>
      </c>
      <c r="P139">
        <v>18.45</v>
      </c>
      <c r="Q139">
        <v>5</v>
      </c>
      <c r="R139">
        <v>0</v>
      </c>
      <c r="S139">
        <v>8.6715</v>
      </c>
    </row>
    <row r="140" spans="1:19" x14ac:dyDescent="0.25">
      <c r="A140" t="s">
        <v>580</v>
      </c>
      <c r="B140" s="4">
        <v>44258</v>
      </c>
      <c r="C140" t="s">
        <v>238</v>
      </c>
      <c r="D140" t="s">
        <v>581</v>
      </c>
      <c r="E140" t="s">
        <v>582</v>
      </c>
      <c r="F140" t="s">
        <v>66</v>
      </c>
      <c r="G140" t="s">
        <v>39</v>
      </c>
      <c r="H140" t="s">
        <v>275</v>
      </c>
      <c r="I140" t="s">
        <v>83</v>
      </c>
      <c r="J140">
        <v>92024</v>
      </c>
      <c r="K140" t="s">
        <v>84</v>
      </c>
      <c r="L140" t="s">
        <v>583</v>
      </c>
      <c r="M140" t="s">
        <v>44</v>
      </c>
      <c r="N140" t="s">
        <v>152</v>
      </c>
      <c r="O140" t="s">
        <v>584</v>
      </c>
      <c r="P140">
        <v>166.44</v>
      </c>
      <c r="Q140">
        <v>3</v>
      </c>
      <c r="R140">
        <v>0</v>
      </c>
      <c r="S140">
        <v>79.891199999999998</v>
      </c>
    </row>
    <row r="141" spans="1:19" x14ac:dyDescent="0.25">
      <c r="A141" t="s">
        <v>585</v>
      </c>
      <c r="B141" s="4">
        <v>44259</v>
      </c>
      <c r="C141" t="s">
        <v>55</v>
      </c>
      <c r="D141" t="s">
        <v>586</v>
      </c>
      <c r="E141" t="s">
        <v>587</v>
      </c>
      <c r="F141" t="s">
        <v>66</v>
      </c>
      <c r="G141" t="s">
        <v>39</v>
      </c>
      <c r="H141" t="s">
        <v>323</v>
      </c>
      <c r="I141" t="s">
        <v>324</v>
      </c>
      <c r="J141">
        <v>19134</v>
      </c>
      <c r="K141" t="s">
        <v>60</v>
      </c>
      <c r="L141" t="s">
        <v>588</v>
      </c>
      <c r="M141" t="s">
        <v>44</v>
      </c>
      <c r="N141" t="s">
        <v>45</v>
      </c>
      <c r="O141" t="s">
        <v>192</v>
      </c>
      <c r="P141">
        <v>5.3460000000000019</v>
      </c>
      <c r="Q141">
        <v>3</v>
      </c>
      <c r="R141">
        <v>0.7</v>
      </c>
      <c r="S141">
        <v>-4.4550000000000001</v>
      </c>
    </row>
    <row r="142" spans="1:19" x14ac:dyDescent="0.25">
      <c r="A142" t="s">
        <v>589</v>
      </c>
      <c r="B142" s="4">
        <v>44276</v>
      </c>
      <c r="C142" t="s">
        <v>55</v>
      </c>
      <c r="D142" t="s">
        <v>590</v>
      </c>
      <c r="E142" t="s">
        <v>591</v>
      </c>
      <c r="F142" t="s">
        <v>66</v>
      </c>
      <c r="G142" t="s">
        <v>39</v>
      </c>
      <c r="H142" t="s">
        <v>592</v>
      </c>
      <c r="I142" t="s">
        <v>83</v>
      </c>
      <c r="J142">
        <v>92627</v>
      </c>
      <c r="K142" t="s">
        <v>84</v>
      </c>
      <c r="L142" t="s">
        <v>388</v>
      </c>
      <c r="M142" t="s">
        <v>44</v>
      </c>
      <c r="N142" t="s">
        <v>52</v>
      </c>
      <c r="O142" t="s">
        <v>389</v>
      </c>
      <c r="P142">
        <v>124.36</v>
      </c>
      <c r="Q142">
        <v>2</v>
      </c>
      <c r="R142">
        <v>0</v>
      </c>
      <c r="S142">
        <v>33.577200000000005</v>
      </c>
    </row>
    <row r="143" spans="1:19" x14ac:dyDescent="0.25">
      <c r="A143" t="s">
        <v>593</v>
      </c>
      <c r="B143" s="4">
        <v>44277</v>
      </c>
      <c r="C143" t="s">
        <v>35</v>
      </c>
      <c r="D143" t="s">
        <v>594</v>
      </c>
      <c r="E143" t="s">
        <v>595</v>
      </c>
      <c r="F143" t="s">
        <v>66</v>
      </c>
      <c r="G143" t="s">
        <v>39</v>
      </c>
      <c r="H143" t="s">
        <v>596</v>
      </c>
      <c r="I143" t="s">
        <v>119</v>
      </c>
      <c r="J143">
        <v>43615</v>
      </c>
      <c r="K143" t="s">
        <v>60</v>
      </c>
      <c r="L143" t="s">
        <v>597</v>
      </c>
      <c r="M143" t="s">
        <v>44</v>
      </c>
      <c r="N143" t="s">
        <v>45</v>
      </c>
      <c r="O143" t="s">
        <v>598</v>
      </c>
      <c r="P143">
        <v>1.6410000000000002</v>
      </c>
      <c r="Q143">
        <v>1</v>
      </c>
      <c r="R143">
        <v>0.7</v>
      </c>
      <c r="S143">
        <v>-1.3128000000000002</v>
      </c>
    </row>
    <row r="144" spans="1:19" x14ac:dyDescent="0.25">
      <c r="A144" t="s">
        <v>593</v>
      </c>
      <c r="B144" s="4">
        <v>44277</v>
      </c>
      <c r="C144" t="s">
        <v>35</v>
      </c>
      <c r="D144" t="s">
        <v>594</v>
      </c>
      <c r="E144" t="s">
        <v>595</v>
      </c>
      <c r="F144" t="s">
        <v>66</v>
      </c>
      <c r="G144" t="s">
        <v>39</v>
      </c>
      <c r="H144" t="s">
        <v>596</v>
      </c>
      <c r="I144" t="s">
        <v>119</v>
      </c>
      <c r="J144">
        <v>43615</v>
      </c>
      <c r="K144" t="s">
        <v>60</v>
      </c>
      <c r="L144" t="s">
        <v>599</v>
      </c>
      <c r="M144" t="s">
        <v>86</v>
      </c>
      <c r="N144" t="s">
        <v>87</v>
      </c>
      <c r="O144" t="s">
        <v>600</v>
      </c>
      <c r="P144">
        <v>629.95799999999997</v>
      </c>
      <c r="Q144">
        <v>7</v>
      </c>
      <c r="R144">
        <v>0.4</v>
      </c>
      <c r="S144">
        <v>94.49369999999999</v>
      </c>
    </row>
    <row r="145" spans="1:19" x14ac:dyDescent="0.25">
      <c r="A145" t="s">
        <v>601</v>
      </c>
      <c r="B145" s="4">
        <v>44265</v>
      </c>
      <c r="C145" t="s">
        <v>35</v>
      </c>
      <c r="D145" t="s">
        <v>602</v>
      </c>
      <c r="E145" t="s">
        <v>603</v>
      </c>
      <c r="F145" t="s">
        <v>66</v>
      </c>
      <c r="G145" t="s">
        <v>39</v>
      </c>
      <c r="H145" t="s">
        <v>604</v>
      </c>
      <c r="I145" t="s">
        <v>405</v>
      </c>
      <c r="J145">
        <v>33311</v>
      </c>
      <c r="K145" t="s">
        <v>406</v>
      </c>
      <c r="L145" t="s">
        <v>605</v>
      </c>
      <c r="M145" t="s">
        <v>48</v>
      </c>
      <c r="N145" t="s">
        <v>49</v>
      </c>
      <c r="O145" t="s">
        <v>606</v>
      </c>
      <c r="P145">
        <v>19.103999999999999</v>
      </c>
      <c r="Q145">
        <v>3</v>
      </c>
      <c r="R145">
        <v>0.2</v>
      </c>
      <c r="S145">
        <v>5.7312000000000012</v>
      </c>
    </row>
    <row r="146" spans="1:19" x14ac:dyDescent="0.25">
      <c r="A146" t="s">
        <v>607</v>
      </c>
      <c r="B146" s="4">
        <v>44272</v>
      </c>
      <c r="C146" t="s">
        <v>55</v>
      </c>
      <c r="D146" t="s">
        <v>608</v>
      </c>
      <c r="E146" t="s">
        <v>609</v>
      </c>
      <c r="F146" t="s">
        <v>218</v>
      </c>
      <c r="G146" t="s">
        <v>39</v>
      </c>
      <c r="H146" t="s">
        <v>219</v>
      </c>
      <c r="I146" t="s">
        <v>220</v>
      </c>
      <c r="J146">
        <v>47201</v>
      </c>
      <c r="K146" t="s">
        <v>42</v>
      </c>
      <c r="L146" t="s">
        <v>610</v>
      </c>
      <c r="M146" t="s">
        <v>44</v>
      </c>
      <c r="N146" t="s">
        <v>152</v>
      </c>
      <c r="O146" t="s">
        <v>611</v>
      </c>
      <c r="P146">
        <v>28.16</v>
      </c>
      <c r="Q146">
        <v>4</v>
      </c>
      <c r="R146">
        <v>0</v>
      </c>
      <c r="S146">
        <v>13.235199999999999</v>
      </c>
    </row>
    <row r="147" spans="1:19" x14ac:dyDescent="0.25">
      <c r="A147" t="s">
        <v>612</v>
      </c>
      <c r="B147" s="4">
        <v>44284</v>
      </c>
      <c r="C147" t="s">
        <v>35</v>
      </c>
      <c r="D147" t="s">
        <v>360</v>
      </c>
      <c r="E147" t="s">
        <v>361</v>
      </c>
      <c r="F147" t="s">
        <v>66</v>
      </c>
      <c r="G147" t="s">
        <v>39</v>
      </c>
      <c r="H147" t="s">
        <v>58</v>
      </c>
      <c r="I147" t="s">
        <v>59</v>
      </c>
      <c r="J147">
        <v>10035</v>
      </c>
      <c r="K147" t="s">
        <v>60</v>
      </c>
      <c r="L147" t="s">
        <v>613</v>
      </c>
      <c r="M147" t="s">
        <v>44</v>
      </c>
      <c r="N147" t="s">
        <v>101</v>
      </c>
      <c r="O147" t="s">
        <v>614</v>
      </c>
      <c r="P147">
        <v>6.0299999999999994</v>
      </c>
      <c r="Q147">
        <v>3</v>
      </c>
      <c r="R147">
        <v>0</v>
      </c>
      <c r="S147">
        <v>2.9546999999999999</v>
      </c>
    </row>
    <row r="148" spans="1:19" x14ac:dyDescent="0.25">
      <c r="A148" t="s">
        <v>615</v>
      </c>
      <c r="B148" s="4">
        <v>44273</v>
      </c>
      <c r="C148" t="s">
        <v>35</v>
      </c>
      <c r="D148" t="s">
        <v>616</v>
      </c>
      <c r="E148" t="s">
        <v>617</v>
      </c>
      <c r="F148" t="s">
        <v>66</v>
      </c>
      <c r="G148" t="s">
        <v>39</v>
      </c>
      <c r="H148" t="s">
        <v>173</v>
      </c>
      <c r="I148" t="s">
        <v>83</v>
      </c>
      <c r="J148">
        <v>90008</v>
      </c>
      <c r="K148" t="s">
        <v>84</v>
      </c>
      <c r="L148" t="s">
        <v>174</v>
      </c>
      <c r="M148" t="s">
        <v>44</v>
      </c>
      <c r="N148" t="s">
        <v>175</v>
      </c>
      <c r="O148" t="s">
        <v>176</v>
      </c>
      <c r="P148">
        <v>6.63</v>
      </c>
      <c r="Q148">
        <v>3</v>
      </c>
      <c r="R148">
        <v>0</v>
      </c>
      <c r="S148">
        <v>1.7901</v>
      </c>
    </row>
    <row r="149" spans="1:19" x14ac:dyDescent="0.25">
      <c r="A149" t="s">
        <v>615</v>
      </c>
      <c r="B149" s="4">
        <v>44273</v>
      </c>
      <c r="C149" t="s">
        <v>35</v>
      </c>
      <c r="D149" t="s">
        <v>616</v>
      </c>
      <c r="E149" t="s">
        <v>617</v>
      </c>
      <c r="F149" t="s">
        <v>66</v>
      </c>
      <c r="G149" t="s">
        <v>39</v>
      </c>
      <c r="H149" t="s">
        <v>173</v>
      </c>
      <c r="I149" t="s">
        <v>83</v>
      </c>
      <c r="J149">
        <v>90008</v>
      </c>
      <c r="K149" t="s">
        <v>84</v>
      </c>
      <c r="L149" t="s">
        <v>297</v>
      </c>
      <c r="M149" t="s">
        <v>44</v>
      </c>
      <c r="N149" t="s">
        <v>152</v>
      </c>
      <c r="O149" t="s">
        <v>298</v>
      </c>
      <c r="P149">
        <v>12.96</v>
      </c>
      <c r="Q149">
        <v>2</v>
      </c>
      <c r="R149">
        <v>0</v>
      </c>
      <c r="S149">
        <v>6.2208000000000006</v>
      </c>
    </row>
    <row r="150" spans="1:19" x14ac:dyDescent="0.25">
      <c r="A150" t="s">
        <v>615</v>
      </c>
      <c r="B150" s="4">
        <v>44273</v>
      </c>
      <c r="C150" t="s">
        <v>35</v>
      </c>
      <c r="D150" t="s">
        <v>616</v>
      </c>
      <c r="E150" t="s">
        <v>617</v>
      </c>
      <c r="F150" t="s">
        <v>66</v>
      </c>
      <c r="G150" t="s">
        <v>39</v>
      </c>
      <c r="H150" t="s">
        <v>173</v>
      </c>
      <c r="I150" t="s">
        <v>83</v>
      </c>
      <c r="J150">
        <v>90008</v>
      </c>
      <c r="K150" t="s">
        <v>84</v>
      </c>
      <c r="L150" t="s">
        <v>618</v>
      </c>
      <c r="M150" t="s">
        <v>44</v>
      </c>
      <c r="N150" t="s">
        <v>152</v>
      </c>
      <c r="O150" t="s">
        <v>619</v>
      </c>
      <c r="P150">
        <v>32.400000000000006</v>
      </c>
      <c r="Q150">
        <v>5</v>
      </c>
      <c r="R150">
        <v>0</v>
      </c>
      <c r="S150">
        <v>15.552000000000001</v>
      </c>
    </row>
    <row r="151" spans="1:19" x14ac:dyDescent="0.25">
      <c r="A151" t="s">
        <v>620</v>
      </c>
      <c r="B151" s="4">
        <v>44269</v>
      </c>
      <c r="C151" t="s">
        <v>55</v>
      </c>
      <c r="D151" t="s">
        <v>621</v>
      </c>
      <c r="E151" t="s">
        <v>622</v>
      </c>
      <c r="F151" t="s">
        <v>218</v>
      </c>
      <c r="G151" t="s">
        <v>39</v>
      </c>
      <c r="H151" t="s">
        <v>275</v>
      </c>
      <c r="I151" t="s">
        <v>83</v>
      </c>
      <c r="J151">
        <v>92024</v>
      </c>
      <c r="K151" t="s">
        <v>84</v>
      </c>
      <c r="L151" t="s">
        <v>623</v>
      </c>
      <c r="M151" t="s">
        <v>48</v>
      </c>
      <c r="N151" t="s">
        <v>49</v>
      </c>
      <c r="O151" t="s">
        <v>624</v>
      </c>
      <c r="P151">
        <v>26.25</v>
      </c>
      <c r="Q151">
        <v>3</v>
      </c>
      <c r="R151">
        <v>0</v>
      </c>
      <c r="S151">
        <v>11.025000000000002</v>
      </c>
    </row>
    <row r="152" spans="1:19" x14ac:dyDescent="0.25">
      <c r="A152" t="s">
        <v>620</v>
      </c>
      <c r="B152" s="4">
        <v>44269</v>
      </c>
      <c r="C152" t="s">
        <v>55</v>
      </c>
      <c r="D152" t="s">
        <v>621</v>
      </c>
      <c r="E152" t="s">
        <v>622</v>
      </c>
      <c r="F152" t="s">
        <v>218</v>
      </c>
      <c r="G152" t="s">
        <v>39</v>
      </c>
      <c r="H152" t="s">
        <v>275</v>
      </c>
      <c r="I152" t="s">
        <v>83</v>
      </c>
      <c r="J152">
        <v>92024</v>
      </c>
      <c r="K152" t="s">
        <v>84</v>
      </c>
      <c r="L152" t="s">
        <v>625</v>
      </c>
      <c r="M152" t="s">
        <v>44</v>
      </c>
      <c r="N152" t="s">
        <v>45</v>
      </c>
      <c r="O152" t="s">
        <v>626</v>
      </c>
      <c r="P152">
        <v>64.959999999999994</v>
      </c>
      <c r="Q152">
        <v>14</v>
      </c>
      <c r="R152">
        <v>0.2</v>
      </c>
      <c r="S152">
        <v>22.736000000000001</v>
      </c>
    </row>
    <row r="153" spans="1:19" x14ac:dyDescent="0.25">
      <c r="A153" t="s">
        <v>620</v>
      </c>
      <c r="B153" s="4">
        <v>44269</v>
      </c>
      <c r="C153" t="s">
        <v>55</v>
      </c>
      <c r="D153" t="s">
        <v>621</v>
      </c>
      <c r="E153" t="s">
        <v>622</v>
      </c>
      <c r="F153" t="s">
        <v>218</v>
      </c>
      <c r="G153" t="s">
        <v>39</v>
      </c>
      <c r="H153" t="s">
        <v>275</v>
      </c>
      <c r="I153" t="s">
        <v>83</v>
      </c>
      <c r="J153">
        <v>92024</v>
      </c>
      <c r="K153" t="s">
        <v>84</v>
      </c>
      <c r="L153" t="s">
        <v>627</v>
      </c>
      <c r="M153" t="s">
        <v>44</v>
      </c>
      <c r="N153" t="s">
        <v>123</v>
      </c>
      <c r="O153" t="s">
        <v>628</v>
      </c>
      <c r="P153">
        <v>43.7</v>
      </c>
      <c r="Q153">
        <v>5</v>
      </c>
      <c r="R153">
        <v>0</v>
      </c>
      <c r="S153">
        <v>20.539000000000001</v>
      </c>
    </row>
    <row r="154" spans="1:19" x14ac:dyDescent="0.25">
      <c r="A154" t="s">
        <v>629</v>
      </c>
      <c r="B154" s="4">
        <v>44271</v>
      </c>
      <c r="C154" t="s">
        <v>73</v>
      </c>
      <c r="D154" t="s">
        <v>630</v>
      </c>
      <c r="E154" t="s">
        <v>631</v>
      </c>
      <c r="F154" t="s">
        <v>38</v>
      </c>
      <c r="G154" t="s">
        <v>39</v>
      </c>
      <c r="H154" t="s">
        <v>419</v>
      </c>
      <c r="I154" t="s">
        <v>83</v>
      </c>
      <c r="J154">
        <v>92054</v>
      </c>
      <c r="K154" t="s">
        <v>84</v>
      </c>
      <c r="L154" t="s">
        <v>632</v>
      </c>
      <c r="M154" t="s">
        <v>48</v>
      </c>
      <c r="N154" t="s">
        <v>168</v>
      </c>
      <c r="O154" t="s">
        <v>633</v>
      </c>
      <c r="P154">
        <v>81.567999999999998</v>
      </c>
      <c r="Q154">
        <v>2</v>
      </c>
      <c r="R154">
        <v>0.2</v>
      </c>
      <c r="S154">
        <v>9.1763999999999974</v>
      </c>
    </row>
    <row r="155" spans="1:19" x14ac:dyDescent="0.25">
      <c r="A155" t="s">
        <v>629</v>
      </c>
      <c r="B155" s="4">
        <v>44271</v>
      </c>
      <c r="C155" t="s">
        <v>73</v>
      </c>
      <c r="D155" t="s">
        <v>630</v>
      </c>
      <c r="E155" t="s">
        <v>631</v>
      </c>
      <c r="F155" t="s">
        <v>38</v>
      </c>
      <c r="G155" t="s">
        <v>39</v>
      </c>
      <c r="H155" t="s">
        <v>419</v>
      </c>
      <c r="I155" t="s">
        <v>83</v>
      </c>
      <c r="J155">
        <v>92054</v>
      </c>
      <c r="K155" t="s">
        <v>84</v>
      </c>
      <c r="L155" t="s">
        <v>634</v>
      </c>
      <c r="M155" t="s">
        <v>48</v>
      </c>
      <c r="N155" t="s">
        <v>168</v>
      </c>
      <c r="O155" t="s">
        <v>635</v>
      </c>
      <c r="P155">
        <v>97.184000000000012</v>
      </c>
      <c r="Q155">
        <v>2</v>
      </c>
      <c r="R155">
        <v>0.2</v>
      </c>
      <c r="S155">
        <v>6.0740000000000016</v>
      </c>
    </row>
    <row r="156" spans="1:19" x14ac:dyDescent="0.25">
      <c r="A156" t="s">
        <v>629</v>
      </c>
      <c r="B156" s="4">
        <v>44271</v>
      </c>
      <c r="C156" t="s">
        <v>73</v>
      </c>
      <c r="D156" t="s">
        <v>630</v>
      </c>
      <c r="E156" t="s">
        <v>631</v>
      </c>
      <c r="F156" t="s">
        <v>38</v>
      </c>
      <c r="G156" t="s">
        <v>39</v>
      </c>
      <c r="H156" t="s">
        <v>419</v>
      </c>
      <c r="I156" t="s">
        <v>83</v>
      </c>
      <c r="J156">
        <v>92054</v>
      </c>
      <c r="K156" t="s">
        <v>84</v>
      </c>
      <c r="L156" t="s">
        <v>636</v>
      </c>
      <c r="M156" t="s">
        <v>44</v>
      </c>
      <c r="N156" t="s">
        <v>45</v>
      </c>
      <c r="O156" t="s">
        <v>637</v>
      </c>
      <c r="P156">
        <v>24.320000000000004</v>
      </c>
      <c r="Q156">
        <v>5</v>
      </c>
      <c r="R156">
        <v>0.2</v>
      </c>
      <c r="S156">
        <v>8.2079999999999984</v>
      </c>
    </row>
    <row r="157" spans="1:19" x14ac:dyDescent="0.25">
      <c r="A157" t="s">
        <v>629</v>
      </c>
      <c r="B157" s="4">
        <v>44271</v>
      </c>
      <c r="C157" t="s">
        <v>73</v>
      </c>
      <c r="D157" t="s">
        <v>630</v>
      </c>
      <c r="E157" t="s">
        <v>631</v>
      </c>
      <c r="F157" t="s">
        <v>38</v>
      </c>
      <c r="G157" t="s">
        <v>39</v>
      </c>
      <c r="H157" t="s">
        <v>419</v>
      </c>
      <c r="I157" t="s">
        <v>83</v>
      </c>
      <c r="J157">
        <v>92054</v>
      </c>
      <c r="K157" t="s">
        <v>84</v>
      </c>
      <c r="L157" t="s">
        <v>638</v>
      </c>
      <c r="M157" t="s">
        <v>48</v>
      </c>
      <c r="N157" t="s">
        <v>49</v>
      </c>
      <c r="O157" t="s">
        <v>639</v>
      </c>
      <c r="P157">
        <v>18.96</v>
      </c>
      <c r="Q157">
        <v>2</v>
      </c>
      <c r="R157">
        <v>0</v>
      </c>
      <c r="S157">
        <v>7.5840000000000014</v>
      </c>
    </row>
    <row r="158" spans="1:19" x14ac:dyDescent="0.25">
      <c r="A158" t="s">
        <v>640</v>
      </c>
      <c r="B158" s="4">
        <v>44271</v>
      </c>
      <c r="C158" t="s">
        <v>55</v>
      </c>
      <c r="D158" t="s">
        <v>641</v>
      </c>
      <c r="E158" t="s">
        <v>642</v>
      </c>
      <c r="F158" t="s">
        <v>66</v>
      </c>
      <c r="G158" t="s">
        <v>39</v>
      </c>
      <c r="H158" t="s">
        <v>643</v>
      </c>
      <c r="I158" t="s">
        <v>644</v>
      </c>
      <c r="J158">
        <v>74133</v>
      </c>
      <c r="K158" t="s">
        <v>42</v>
      </c>
      <c r="L158" t="s">
        <v>645</v>
      </c>
      <c r="M158" t="s">
        <v>44</v>
      </c>
      <c r="N158" t="s">
        <v>45</v>
      </c>
      <c r="O158" t="s">
        <v>646</v>
      </c>
      <c r="P158">
        <v>10.8</v>
      </c>
      <c r="Q158">
        <v>5</v>
      </c>
      <c r="R158">
        <v>0</v>
      </c>
      <c r="S158">
        <v>5.1839999999999993</v>
      </c>
    </row>
    <row r="159" spans="1:19" x14ac:dyDescent="0.25">
      <c r="A159" t="s">
        <v>647</v>
      </c>
      <c r="B159" s="4">
        <v>44259</v>
      </c>
      <c r="C159" t="s">
        <v>238</v>
      </c>
      <c r="D159" t="s">
        <v>648</v>
      </c>
      <c r="E159" t="s">
        <v>649</v>
      </c>
      <c r="F159" t="s">
        <v>38</v>
      </c>
      <c r="G159" t="s">
        <v>39</v>
      </c>
      <c r="H159" t="s">
        <v>323</v>
      </c>
      <c r="I159" t="s">
        <v>324</v>
      </c>
      <c r="J159">
        <v>19143</v>
      </c>
      <c r="K159" t="s">
        <v>60</v>
      </c>
      <c r="L159" t="s">
        <v>650</v>
      </c>
      <c r="M159" t="s">
        <v>48</v>
      </c>
      <c r="N159" t="s">
        <v>168</v>
      </c>
      <c r="O159" t="s">
        <v>651</v>
      </c>
      <c r="P159">
        <v>188.55199999999996</v>
      </c>
      <c r="Q159">
        <v>7</v>
      </c>
      <c r="R159">
        <v>0.3</v>
      </c>
      <c r="S159">
        <v>-2.693600000000032</v>
      </c>
    </row>
    <row r="160" spans="1:19" x14ac:dyDescent="0.25">
      <c r="A160" t="s">
        <v>652</v>
      </c>
      <c r="B160" s="4">
        <v>44271</v>
      </c>
      <c r="C160" t="s">
        <v>55</v>
      </c>
      <c r="D160" t="s">
        <v>653</v>
      </c>
      <c r="E160" t="s">
        <v>654</v>
      </c>
      <c r="F160" t="s">
        <v>218</v>
      </c>
      <c r="G160" t="s">
        <v>39</v>
      </c>
      <c r="H160" t="s">
        <v>483</v>
      </c>
      <c r="I160" t="s">
        <v>59</v>
      </c>
      <c r="J160">
        <v>14609</v>
      </c>
      <c r="K160" t="s">
        <v>60</v>
      </c>
      <c r="L160" t="s">
        <v>655</v>
      </c>
      <c r="M160" t="s">
        <v>44</v>
      </c>
      <c r="N160" t="s">
        <v>45</v>
      </c>
      <c r="O160" t="s">
        <v>656</v>
      </c>
      <c r="P160">
        <v>33.375999999999998</v>
      </c>
      <c r="Q160">
        <v>4</v>
      </c>
      <c r="R160">
        <v>0.2</v>
      </c>
      <c r="S160">
        <v>10.429999999999998</v>
      </c>
    </row>
    <row r="161" spans="1:19" x14ac:dyDescent="0.25">
      <c r="A161" t="s">
        <v>657</v>
      </c>
      <c r="B161" s="4">
        <v>44272</v>
      </c>
      <c r="C161" t="s">
        <v>55</v>
      </c>
      <c r="D161" t="s">
        <v>355</v>
      </c>
      <c r="E161" t="s">
        <v>356</v>
      </c>
      <c r="F161" t="s">
        <v>66</v>
      </c>
      <c r="G161" t="s">
        <v>39</v>
      </c>
      <c r="H161" t="s">
        <v>658</v>
      </c>
      <c r="I161" t="s">
        <v>413</v>
      </c>
      <c r="J161">
        <v>23320</v>
      </c>
      <c r="K161" t="s">
        <v>406</v>
      </c>
      <c r="L161" t="s">
        <v>659</v>
      </c>
      <c r="M161" t="s">
        <v>48</v>
      </c>
      <c r="N161" t="s">
        <v>168</v>
      </c>
      <c r="O161" t="s">
        <v>660</v>
      </c>
      <c r="P161">
        <v>504.90000000000003</v>
      </c>
      <c r="Q161">
        <v>5</v>
      </c>
      <c r="R161">
        <v>0</v>
      </c>
      <c r="S161">
        <v>80.78400000000002</v>
      </c>
    </row>
    <row r="162" spans="1:19" x14ac:dyDescent="0.25">
      <c r="A162" t="s">
        <v>661</v>
      </c>
      <c r="B162" s="4">
        <v>44277</v>
      </c>
      <c r="C162" t="s">
        <v>73</v>
      </c>
      <c r="D162" t="s">
        <v>662</v>
      </c>
      <c r="E162" t="s">
        <v>663</v>
      </c>
      <c r="F162" t="s">
        <v>38</v>
      </c>
      <c r="G162" t="s">
        <v>39</v>
      </c>
      <c r="H162" t="s">
        <v>664</v>
      </c>
      <c r="I162" t="s">
        <v>665</v>
      </c>
      <c r="J162">
        <v>2908</v>
      </c>
      <c r="K162" t="s">
        <v>60</v>
      </c>
      <c r="L162" t="s">
        <v>666</v>
      </c>
      <c r="M162" t="s">
        <v>44</v>
      </c>
      <c r="N162" t="s">
        <v>435</v>
      </c>
      <c r="O162" t="s">
        <v>667</v>
      </c>
      <c r="P162">
        <v>695.16</v>
      </c>
      <c r="Q162">
        <v>6</v>
      </c>
      <c r="R162">
        <v>0</v>
      </c>
      <c r="S162">
        <v>34.757999999999953</v>
      </c>
    </row>
    <row r="163" spans="1:19" x14ac:dyDescent="0.25">
      <c r="A163" t="s">
        <v>661</v>
      </c>
      <c r="B163" s="4">
        <v>44277</v>
      </c>
      <c r="C163" t="s">
        <v>73</v>
      </c>
      <c r="D163" t="s">
        <v>662</v>
      </c>
      <c r="E163" t="s">
        <v>663</v>
      </c>
      <c r="F163" t="s">
        <v>38</v>
      </c>
      <c r="G163" t="s">
        <v>39</v>
      </c>
      <c r="H163" t="s">
        <v>664</v>
      </c>
      <c r="I163" t="s">
        <v>665</v>
      </c>
      <c r="J163">
        <v>2908</v>
      </c>
      <c r="K163" t="s">
        <v>60</v>
      </c>
      <c r="L163" t="s">
        <v>668</v>
      </c>
      <c r="M163" t="s">
        <v>48</v>
      </c>
      <c r="N163" t="s">
        <v>165</v>
      </c>
      <c r="O163" t="s">
        <v>669</v>
      </c>
      <c r="P163">
        <v>220.98</v>
      </c>
      <c r="Q163">
        <v>1</v>
      </c>
      <c r="R163">
        <v>0</v>
      </c>
      <c r="S163">
        <v>50.825400000000002</v>
      </c>
    </row>
    <row r="164" spans="1:19" x14ac:dyDescent="0.25">
      <c r="A164" t="s">
        <v>670</v>
      </c>
      <c r="B164" s="4">
        <v>44276</v>
      </c>
      <c r="C164" t="s">
        <v>73</v>
      </c>
      <c r="D164" t="s">
        <v>671</v>
      </c>
      <c r="E164" t="s">
        <v>672</v>
      </c>
      <c r="F164" t="s">
        <v>66</v>
      </c>
      <c r="G164" t="s">
        <v>39</v>
      </c>
      <c r="H164" t="s">
        <v>673</v>
      </c>
      <c r="I164" t="s">
        <v>674</v>
      </c>
      <c r="J164">
        <v>29203</v>
      </c>
      <c r="K164" t="s">
        <v>406</v>
      </c>
      <c r="L164" t="s">
        <v>675</v>
      </c>
      <c r="M164" t="s">
        <v>44</v>
      </c>
      <c r="N164" t="s">
        <v>45</v>
      </c>
      <c r="O164" t="s">
        <v>676</v>
      </c>
      <c r="P164">
        <v>23.88</v>
      </c>
      <c r="Q164">
        <v>6</v>
      </c>
      <c r="R164">
        <v>0</v>
      </c>
      <c r="S164">
        <v>11.223600000000001</v>
      </c>
    </row>
    <row r="165" spans="1:19" x14ac:dyDescent="0.25">
      <c r="A165" t="s">
        <v>677</v>
      </c>
      <c r="B165" s="4">
        <v>44260</v>
      </c>
      <c r="C165" t="s">
        <v>55</v>
      </c>
      <c r="D165" t="s">
        <v>678</v>
      </c>
      <c r="E165" t="s">
        <v>679</v>
      </c>
      <c r="F165" t="s">
        <v>38</v>
      </c>
      <c r="G165" t="s">
        <v>39</v>
      </c>
      <c r="H165" t="s">
        <v>58</v>
      </c>
      <c r="I165" t="s">
        <v>59</v>
      </c>
      <c r="J165">
        <v>10011</v>
      </c>
      <c r="K165" t="s">
        <v>60</v>
      </c>
      <c r="L165" t="s">
        <v>680</v>
      </c>
      <c r="M165" t="s">
        <v>48</v>
      </c>
      <c r="N165" t="s">
        <v>49</v>
      </c>
      <c r="O165" t="s">
        <v>681</v>
      </c>
      <c r="P165">
        <v>20.94</v>
      </c>
      <c r="Q165">
        <v>3</v>
      </c>
      <c r="R165">
        <v>0</v>
      </c>
      <c r="S165">
        <v>6.0725999999999987</v>
      </c>
    </row>
    <row r="166" spans="1:19" x14ac:dyDescent="0.25">
      <c r="A166" t="s">
        <v>677</v>
      </c>
      <c r="B166" s="4">
        <v>44260</v>
      </c>
      <c r="C166" t="s">
        <v>55</v>
      </c>
      <c r="D166" t="s">
        <v>678</v>
      </c>
      <c r="E166" t="s">
        <v>679</v>
      </c>
      <c r="F166" t="s">
        <v>38</v>
      </c>
      <c r="G166" t="s">
        <v>39</v>
      </c>
      <c r="H166" t="s">
        <v>58</v>
      </c>
      <c r="I166" t="s">
        <v>59</v>
      </c>
      <c r="J166">
        <v>10011</v>
      </c>
      <c r="K166" t="s">
        <v>60</v>
      </c>
      <c r="L166" t="s">
        <v>682</v>
      </c>
      <c r="M166" t="s">
        <v>48</v>
      </c>
      <c r="N166" t="s">
        <v>49</v>
      </c>
      <c r="O166" t="s">
        <v>683</v>
      </c>
      <c r="P166">
        <v>58.68</v>
      </c>
      <c r="Q166">
        <v>2</v>
      </c>
      <c r="R166">
        <v>0</v>
      </c>
      <c r="S166">
        <v>18.190799999999996</v>
      </c>
    </row>
    <row r="167" spans="1:19" x14ac:dyDescent="0.25">
      <c r="A167" t="s">
        <v>677</v>
      </c>
      <c r="B167" s="4">
        <v>44260</v>
      </c>
      <c r="C167" t="s">
        <v>55</v>
      </c>
      <c r="D167" t="s">
        <v>678</v>
      </c>
      <c r="E167" t="s">
        <v>679</v>
      </c>
      <c r="F167" t="s">
        <v>38</v>
      </c>
      <c r="G167" t="s">
        <v>39</v>
      </c>
      <c r="H167" t="s">
        <v>58</v>
      </c>
      <c r="I167" t="s">
        <v>59</v>
      </c>
      <c r="J167">
        <v>10011</v>
      </c>
      <c r="K167" t="s">
        <v>60</v>
      </c>
      <c r="L167" t="s">
        <v>684</v>
      </c>
      <c r="M167" t="s">
        <v>44</v>
      </c>
      <c r="N167" t="s">
        <v>70</v>
      </c>
      <c r="O167" t="s">
        <v>685</v>
      </c>
      <c r="P167">
        <v>254.89999999999998</v>
      </c>
      <c r="Q167">
        <v>5</v>
      </c>
      <c r="R167">
        <v>0</v>
      </c>
      <c r="S167">
        <v>68.823000000000008</v>
      </c>
    </row>
    <row r="168" spans="1:19" x14ac:dyDescent="0.25">
      <c r="A168" t="s">
        <v>686</v>
      </c>
      <c r="B168" s="4">
        <v>44273</v>
      </c>
      <c r="C168" t="s">
        <v>55</v>
      </c>
      <c r="D168" t="s">
        <v>687</v>
      </c>
      <c r="E168" t="s">
        <v>688</v>
      </c>
      <c r="F168" t="s">
        <v>38</v>
      </c>
      <c r="G168" t="s">
        <v>39</v>
      </c>
      <c r="H168" t="s">
        <v>323</v>
      </c>
      <c r="I168" t="s">
        <v>324</v>
      </c>
      <c r="J168">
        <v>19134</v>
      </c>
      <c r="K168" t="s">
        <v>60</v>
      </c>
      <c r="L168" t="s">
        <v>689</v>
      </c>
      <c r="M168" t="s">
        <v>44</v>
      </c>
      <c r="N168" t="s">
        <v>175</v>
      </c>
      <c r="O168" t="s">
        <v>690</v>
      </c>
      <c r="P168">
        <v>18.704000000000001</v>
      </c>
      <c r="Q168">
        <v>7</v>
      </c>
      <c r="R168">
        <v>0.2</v>
      </c>
      <c r="S168">
        <v>2.3379999999999983</v>
      </c>
    </row>
    <row r="169" spans="1:19" x14ac:dyDescent="0.25">
      <c r="A169" t="s">
        <v>691</v>
      </c>
      <c r="B169" s="4">
        <v>44256</v>
      </c>
      <c r="C169" t="s">
        <v>55</v>
      </c>
      <c r="D169" t="s">
        <v>692</v>
      </c>
      <c r="E169" t="s">
        <v>693</v>
      </c>
      <c r="F169" t="s">
        <v>66</v>
      </c>
      <c r="G169" t="s">
        <v>39</v>
      </c>
      <c r="H169" t="s">
        <v>694</v>
      </c>
      <c r="I169" t="s">
        <v>41</v>
      </c>
      <c r="J169">
        <v>75051</v>
      </c>
      <c r="K169" t="s">
        <v>42</v>
      </c>
      <c r="L169" t="s">
        <v>695</v>
      </c>
      <c r="M169" t="s">
        <v>86</v>
      </c>
      <c r="N169" t="s">
        <v>87</v>
      </c>
      <c r="O169" t="s">
        <v>696</v>
      </c>
      <c r="P169">
        <v>219.80000000000004</v>
      </c>
      <c r="Q169">
        <v>5</v>
      </c>
      <c r="R169">
        <v>0.2</v>
      </c>
      <c r="S169">
        <v>24.727499999999971</v>
      </c>
    </row>
    <row r="170" spans="1:19" x14ac:dyDescent="0.25">
      <c r="A170" t="s">
        <v>691</v>
      </c>
      <c r="B170" s="4">
        <v>44256</v>
      </c>
      <c r="C170" t="s">
        <v>55</v>
      </c>
      <c r="D170" t="s">
        <v>692</v>
      </c>
      <c r="E170" t="s">
        <v>693</v>
      </c>
      <c r="F170" t="s">
        <v>66</v>
      </c>
      <c r="G170" t="s">
        <v>39</v>
      </c>
      <c r="H170" t="s">
        <v>694</v>
      </c>
      <c r="I170" t="s">
        <v>41</v>
      </c>
      <c r="J170">
        <v>75051</v>
      </c>
      <c r="K170" t="s">
        <v>42</v>
      </c>
      <c r="L170" t="s">
        <v>697</v>
      </c>
      <c r="M170" t="s">
        <v>48</v>
      </c>
      <c r="N170" t="s">
        <v>168</v>
      </c>
      <c r="O170" t="s">
        <v>698</v>
      </c>
      <c r="P170">
        <v>317.05799999999999</v>
      </c>
      <c r="Q170">
        <v>3</v>
      </c>
      <c r="R170">
        <v>0.3</v>
      </c>
      <c r="S170">
        <v>-18.117599999999996</v>
      </c>
    </row>
    <row r="171" spans="1:19" x14ac:dyDescent="0.25">
      <c r="A171" t="s">
        <v>699</v>
      </c>
      <c r="B171" s="4">
        <v>44265</v>
      </c>
      <c r="C171" t="s">
        <v>73</v>
      </c>
      <c r="D171" t="s">
        <v>273</v>
      </c>
      <c r="E171" t="s">
        <v>274</v>
      </c>
      <c r="F171" t="s">
        <v>38</v>
      </c>
      <c r="G171" t="s">
        <v>39</v>
      </c>
      <c r="H171" t="s">
        <v>531</v>
      </c>
      <c r="I171" t="s">
        <v>532</v>
      </c>
      <c r="J171">
        <v>98103</v>
      </c>
      <c r="K171" t="s">
        <v>84</v>
      </c>
      <c r="L171" t="s">
        <v>700</v>
      </c>
      <c r="M171" t="s">
        <v>86</v>
      </c>
      <c r="N171" t="s">
        <v>109</v>
      </c>
      <c r="O171" t="s">
        <v>701</v>
      </c>
      <c r="P171">
        <v>49.08</v>
      </c>
      <c r="Q171">
        <v>3</v>
      </c>
      <c r="R171">
        <v>0</v>
      </c>
      <c r="S171">
        <v>4.9079999999999977</v>
      </c>
    </row>
    <row r="172" spans="1:19" x14ac:dyDescent="0.25">
      <c r="A172" t="s">
        <v>699</v>
      </c>
      <c r="B172" s="4">
        <v>44265</v>
      </c>
      <c r="C172" t="s">
        <v>73</v>
      </c>
      <c r="D172" t="s">
        <v>273</v>
      </c>
      <c r="E172" t="s">
        <v>274</v>
      </c>
      <c r="F172" t="s">
        <v>38</v>
      </c>
      <c r="G172" t="s">
        <v>39</v>
      </c>
      <c r="H172" t="s">
        <v>531</v>
      </c>
      <c r="I172" t="s">
        <v>532</v>
      </c>
      <c r="J172">
        <v>98103</v>
      </c>
      <c r="K172" t="s">
        <v>84</v>
      </c>
      <c r="L172" t="s">
        <v>702</v>
      </c>
      <c r="M172" t="s">
        <v>44</v>
      </c>
      <c r="N172" t="s">
        <v>52</v>
      </c>
      <c r="O172" t="s">
        <v>703</v>
      </c>
      <c r="P172">
        <v>324.90000000000003</v>
      </c>
      <c r="Q172">
        <v>5</v>
      </c>
      <c r="R172">
        <v>0</v>
      </c>
      <c r="S172">
        <v>38.988000000000014</v>
      </c>
    </row>
    <row r="173" spans="1:19" x14ac:dyDescent="0.25">
      <c r="A173" t="s">
        <v>699</v>
      </c>
      <c r="B173" s="4">
        <v>44265</v>
      </c>
      <c r="C173" t="s">
        <v>73</v>
      </c>
      <c r="D173" t="s">
        <v>273</v>
      </c>
      <c r="E173" t="s">
        <v>274</v>
      </c>
      <c r="F173" t="s">
        <v>38</v>
      </c>
      <c r="G173" t="s">
        <v>39</v>
      </c>
      <c r="H173" t="s">
        <v>531</v>
      </c>
      <c r="I173" t="s">
        <v>532</v>
      </c>
      <c r="J173">
        <v>98103</v>
      </c>
      <c r="K173" t="s">
        <v>84</v>
      </c>
      <c r="L173" t="s">
        <v>704</v>
      </c>
      <c r="M173" t="s">
        <v>44</v>
      </c>
      <c r="N173" t="s">
        <v>175</v>
      </c>
      <c r="O173" t="s">
        <v>705</v>
      </c>
      <c r="P173">
        <v>18.240000000000002</v>
      </c>
      <c r="Q173">
        <v>3</v>
      </c>
      <c r="R173">
        <v>0</v>
      </c>
      <c r="S173">
        <v>5.2895999999999983</v>
      </c>
    </row>
    <row r="174" spans="1:19" x14ac:dyDescent="0.25">
      <c r="A174" t="s">
        <v>706</v>
      </c>
      <c r="B174" s="4">
        <v>44279</v>
      </c>
      <c r="C174" t="s">
        <v>55</v>
      </c>
      <c r="D174" t="s">
        <v>707</v>
      </c>
      <c r="E174" t="s">
        <v>708</v>
      </c>
      <c r="F174" t="s">
        <v>66</v>
      </c>
      <c r="G174" t="s">
        <v>39</v>
      </c>
      <c r="H174" t="s">
        <v>419</v>
      </c>
      <c r="I174" t="s">
        <v>59</v>
      </c>
      <c r="J174">
        <v>11572</v>
      </c>
      <c r="K174" t="s">
        <v>60</v>
      </c>
      <c r="L174" t="s">
        <v>697</v>
      </c>
      <c r="M174" t="s">
        <v>48</v>
      </c>
      <c r="N174" t="s">
        <v>168</v>
      </c>
      <c r="O174" t="s">
        <v>698</v>
      </c>
      <c r="P174">
        <v>271.76400000000001</v>
      </c>
      <c r="Q174">
        <v>2</v>
      </c>
      <c r="R174">
        <v>0.1</v>
      </c>
      <c r="S174">
        <v>48.313600000000008</v>
      </c>
    </row>
    <row r="175" spans="1:19" x14ac:dyDescent="0.25">
      <c r="A175" t="s">
        <v>706</v>
      </c>
      <c r="B175" s="4">
        <v>44279</v>
      </c>
      <c r="C175" t="s">
        <v>55</v>
      </c>
      <c r="D175" t="s">
        <v>707</v>
      </c>
      <c r="E175" t="s">
        <v>708</v>
      </c>
      <c r="F175" t="s">
        <v>66</v>
      </c>
      <c r="G175" t="s">
        <v>39</v>
      </c>
      <c r="H175" t="s">
        <v>419</v>
      </c>
      <c r="I175" t="s">
        <v>59</v>
      </c>
      <c r="J175">
        <v>11572</v>
      </c>
      <c r="K175" t="s">
        <v>60</v>
      </c>
      <c r="L175" t="s">
        <v>709</v>
      </c>
      <c r="M175" t="s">
        <v>44</v>
      </c>
      <c r="N175" t="s">
        <v>45</v>
      </c>
      <c r="O175" t="s">
        <v>710</v>
      </c>
      <c r="P175">
        <v>14.376000000000001</v>
      </c>
      <c r="Q175">
        <v>3</v>
      </c>
      <c r="R175">
        <v>0.2</v>
      </c>
      <c r="S175">
        <v>4.8518999999999997</v>
      </c>
    </row>
    <row r="176" spans="1:19" x14ac:dyDescent="0.25">
      <c r="A176" t="s">
        <v>711</v>
      </c>
      <c r="B176" s="4">
        <v>44269</v>
      </c>
      <c r="C176" t="s">
        <v>55</v>
      </c>
      <c r="D176" t="s">
        <v>712</v>
      </c>
      <c r="E176" t="s">
        <v>713</v>
      </c>
      <c r="F176" t="s">
        <v>218</v>
      </c>
      <c r="G176" t="s">
        <v>39</v>
      </c>
      <c r="H176" t="s">
        <v>714</v>
      </c>
      <c r="I176" t="s">
        <v>715</v>
      </c>
      <c r="J176">
        <v>60653</v>
      </c>
      <c r="K176" t="s">
        <v>42</v>
      </c>
      <c r="L176" t="s">
        <v>716</v>
      </c>
      <c r="M176" t="s">
        <v>86</v>
      </c>
      <c r="N176" t="s">
        <v>109</v>
      </c>
      <c r="O176" t="s">
        <v>717</v>
      </c>
      <c r="P176">
        <v>227.976</v>
      </c>
      <c r="Q176">
        <v>3</v>
      </c>
      <c r="R176">
        <v>0.2</v>
      </c>
      <c r="S176">
        <v>28.496999999999957</v>
      </c>
    </row>
    <row r="177" spans="1:19" x14ac:dyDescent="0.25">
      <c r="A177" t="s">
        <v>711</v>
      </c>
      <c r="B177" s="4">
        <v>44269</v>
      </c>
      <c r="C177" t="s">
        <v>55</v>
      </c>
      <c r="D177" t="s">
        <v>712</v>
      </c>
      <c r="E177" t="s">
        <v>713</v>
      </c>
      <c r="F177" t="s">
        <v>218</v>
      </c>
      <c r="G177" t="s">
        <v>39</v>
      </c>
      <c r="H177" t="s">
        <v>714</v>
      </c>
      <c r="I177" t="s">
        <v>715</v>
      </c>
      <c r="J177">
        <v>60653</v>
      </c>
      <c r="K177" t="s">
        <v>42</v>
      </c>
      <c r="L177" t="s">
        <v>718</v>
      </c>
      <c r="M177" t="s">
        <v>86</v>
      </c>
      <c r="N177" t="s">
        <v>87</v>
      </c>
      <c r="O177" t="s">
        <v>719</v>
      </c>
      <c r="P177">
        <v>52.679999999999993</v>
      </c>
      <c r="Q177">
        <v>3</v>
      </c>
      <c r="R177">
        <v>0.2</v>
      </c>
      <c r="S177">
        <v>19.754999999999999</v>
      </c>
    </row>
    <row r="178" spans="1:19" x14ac:dyDescent="0.25">
      <c r="A178" t="s">
        <v>711</v>
      </c>
      <c r="B178" s="4">
        <v>44269</v>
      </c>
      <c r="C178" t="s">
        <v>55</v>
      </c>
      <c r="D178" t="s">
        <v>712</v>
      </c>
      <c r="E178" t="s">
        <v>713</v>
      </c>
      <c r="F178" t="s">
        <v>218</v>
      </c>
      <c r="G178" t="s">
        <v>39</v>
      </c>
      <c r="H178" t="s">
        <v>714</v>
      </c>
      <c r="I178" t="s">
        <v>715</v>
      </c>
      <c r="J178">
        <v>60653</v>
      </c>
      <c r="K178" t="s">
        <v>42</v>
      </c>
      <c r="L178" t="s">
        <v>720</v>
      </c>
      <c r="M178" t="s">
        <v>48</v>
      </c>
      <c r="N178" t="s">
        <v>49</v>
      </c>
      <c r="O178" t="s">
        <v>721</v>
      </c>
      <c r="P178">
        <v>2.032</v>
      </c>
      <c r="Q178">
        <v>1</v>
      </c>
      <c r="R178">
        <v>0.6</v>
      </c>
      <c r="S178">
        <v>-1.3208000000000002</v>
      </c>
    </row>
    <row r="179" spans="1:19" x14ac:dyDescent="0.25">
      <c r="A179" t="s">
        <v>722</v>
      </c>
      <c r="B179" s="4">
        <v>44263</v>
      </c>
      <c r="C179" t="s">
        <v>35</v>
      </c>
      <c r="D179" t="s">
        <v>723</v>
      </c>
      <c r="E179" t="s">
        <v>724</v>
      </c>
      <c r="F179" t="s">
        <v>66</v>
      </c>
      <c r="G179" t="s">
        <v>39</v>
      </c>
      <c r="H179" t="s">
        <v>725</v>
      </c>
      <c r="I179" t="s">
        <v>83</v>
      </c>
      <c r="J179">
        <v>90301</v>
      </c>
      <c r="K179" t="s">
        <v>84</v>
      </c>
      <c r="L179" t="s">
        <v>726</v>
      </c>
      <c r="M179" t="s">
        <v>44</v>
      </c>
      <c r="N179" t="s">
        <v>52</v>
      </c>
      <c r="O179" t="s">
        <v>727</v>
      </c>
      <c r="P179">
        <v>29.79</v>
      </c>
      <c r="Q179">
        <v>3</v>
      </c>
      <c r="R179">
        <v>0</v>
      </c>
      <c r="S179">
        <v>8.6390999999999956</v>
      </c>
    </row>
    <row r="180" spans="1:19" x14ac:dyDescent="0.25">
      <c r="A180" t="s">
        <v>722</v>
      </c>
      <c r="B180" s="4">
        <v>44263</v>
      </c>
      <c r="C180" t="s">
        <v>35</v>
      </c>
      <c r="D180" t="s">
        <v>723</v>
      </c>
      <c r="E180" t="s">
        <v>724</v>
      </c>
      <c r="F180" t="s">
        <v>66</v>
      </c>
      <c r="G180" t="s">
        <v>39</v>
      </c>
      <c r="H180" t="s">
        <v>725</v>
      </c>
      <c r="I180" t="s">
        <v>83</v>
      </c>
      <c r="J180">
        <v>90301</v>
      </c>
      <c r="K180" t="s">
        <v>84</v>
      </c>
      <c r="L180" t="s">
        <v>728</v>
      </c>
      <c r="M180" t="s">
        <v>48</v>
      </c>
      <c r="N180" t="s">
        <v>49</v>
      </c>
      <c r="O180" t="s">
        <v>729</v>
      </c>
      <c r="P180">
        <v>128.9</v>
      </c>
      <c r="Q180">
        <v>2</v>
      </c>
      <c r="R180">
        <v>0</v>
      </c>
      <c r="S180">
        <v>15.468000000000004</v>
      </c>
    </row>
    <row r="181" spans="1:19" x14ac:dyDescent="0.25">
      <c r="A181" t="s">
        <v>722</v>
      </c>
      <c r="B181" s="4">
        <v>44263</v>
      </c>
      <c r="C181" t="s">
        <v>35</v>
      </c>
      <c r="D181" t="s">
        <v>723</v>
      </c>
      <c r="E181" t="s">
        <v>724</v>
      </c>
      <c r="F181" t="s">
        <v>66</v>
      </c>
      <c r="G181" t="s">
        <v>39</v>
      </c>
      <c r="H181" t="s">
        <v>725</v>
      </c>
      <c r="I181" t="s">
        <v>83</v>
      </c>
      <c r="J181">
        <v>90301</v>
      </c>
      <c r="K181" t="s">
        <v>84</v>
      </c>
      <c r="L181" t="s">
        <v>730</v>
      </c>
      <c r="M181" t="s">
        <v>44</v>
      </c>
      <c r="N181" t="s">
        <v>152</v>
      </c>
      <c r="O181" t="s">
        <v>731</v>
      </c>
      <c r="P181">
        <v>60.12</v>
      </c>
      <c r="Q181">
        <v>9</v>
      </c>
      <c r="R181">
        <v>0</v>
      </c>
      <c r="S181">
        <v>28.857599999999998</v>
      </c>
    </row>
    <row r="182" spans="1:19" x14ac:dyDescent="0.25">
      <c r="A182" t="s">
        <v>732</v>
      </c>
      <c r="B182" s="4">
        <v>44260</v>
      </c>
      <c r="C182" t="s">
        <v>55</v>
      </c>
      <c r="D182" t="s">
        <v>733</v>
      </c>
      <c r="E182" t="s">
        <v>734</v>
      </c>
      <c r="F182" t="s">
        <v>66</v>
      </c>
      <c r="G182" t="s">
        <v>39</v>
      </c>
      <c r="H182" t="s">
        <v>735</v>
      </c>
      <c r="I182" t="s">
        <v>532</v>
      </c>
      <c r="J182">
        <v>98006</v>
      </c>
      <c r="K182" t="s">
        <v>84</v>
      </c>
      <c r="L182" t="s">
        <v>736</v>
      </c>
      <c r="M182" t="s">
        <v>44</v>
      </c>
      <c r="N182" t="s">
        <v>45</v>
      </c>
      <c r="O182" t="s">
        <v>737</v>
      </c>
      <c r="P182">
        <v>24.816000000000003</v>
      </c>
      <c r="Q182">
        <v>3</v>
      </c>
      <c r="R182">
        <v>0.2</v>
      </c>
      <c r="S182">
        <v>8.3753999999999991</v>
      </c>
    </row>
    <row r="183" spans="1:19" x14ac:dyDescent="0.25">
      <c r="A183" t="s">
        <v>732</v>
      </c>
      <c r="B183" s="4">
        <v>44260</v>
      </c>
      <c r="C183" t="s">
        <v>55</v>
      </c>
      <c r="D183" t="s">
        <v>733</v>
      </c>
      <c r="E183" t="s">
        <v>734</v>
      </c>
      <c r="F183" t="s">
        <v>66</v>
      </c>
      <c r="G183" t="s">
        <v>39</v>
      </c>
      <c r="H183" t="s">
        <v>735</v>
      </c>
      <c r="I183" t="s">
        <v>532</v>
      </c>
      <c r="J183">
        <v>98006</v>
      </c>
      <c r="K183" t="s">
        <v>84</v>
      </c>
      <c r="L183" t="s">
        <v>738</v>
      </c>
      <c r="M183" t="s">
        <v>44</v>
      </c>
      <c r="N183" t="s">
        <v>45</v>
      </c>
      <c r="O183" t="s">
        <v>739</v>
      </c>
      <c r="P183">
        <v>14.976000000000003</v>
      </c>
      <c r="Q183">
        <v>6</v>
      </c>
      <c r="R183">
        <v>0.2</v>
      </c>
      <c r="S183">
        <v>5.4287999999999981</v>
      </c>
    </row>
    <row r="184" spans="1:19" x14ac:dyDescent="0.25">
      <c r="A184" t="s">
        <v>740</v>
      </c>
      <c r="B184" s="4">
        <v>44258</v>
      </c>
      <c r="C184" t="s">
        <v>73</v>
      </c>
      <c r="D184" t="s">
        <v>741</v>
      </c>
      <c r="E184" t="s">
        <v>742</v>
      </c>
      <c r="F184" t="s">
        <v>66</v>
      </c>
      <c r="G184" t="s">
        <v>39</v>
      </c>
      <c r="H184" t="s">
        <v>743</v>
      </c>
      <c r="I184" t="s">
        <v>405</v>
      </c>
      <c r="J184">
        <v>32216</v>
      </c>
      <c r="K184" t="s">
        <v>406</v>
      </c>
      <c r="L184" t="s">
        <v>744</v>
      </c>
      <c r="M184" t="s">
        <v>86</v>
      </c>
      <c r="N184" t="s">
        <v>109</v>
      </c>
      <c r="O184" t="s">
        <v>745</v>
      </c>
      <c r="P184">
        <v>47.992000000000004</v>
      </c>
      <c r="Q184">
        <v>1</v>
      </c>
      <c r="R184">
        <v>0.2</v>
      </c>
      <c r="S184">
        <v>7.198799999999995</v>
      </c>
    </row>
    <row r="185" spans="1:19" x14ac:dyDescent="0.25">
      <c r="A185" t="s">
        <v>746</v>
      </c>
      <c r="B185" s="4">
        <v>44265</v>
      </c>
      <c r="C185" t="s">
        <v>73</v>
      </c>
      <c r="D185" t="s">
        <v>747</v>
      </c>
      <c r="E185" t="s">
        <v>748</v>
      </c>
      <c r="F185" t="s">
        <v>218</v>
      </c>
      <c r="G185" t="s">
        <v>39</v>
      </c>
      <c r="H185" t="s">
        <v>749</v>
      </c>
      <c r="I185" t="s">
        <v>750</v>
      </c>
      <c r="J185">
        <v>39212</v>
      </c>
      <c r="K185" t="s">
        <v>406</v>
      </c>
      <c r="L185" t="s">
        <v>751</v>
      </c>
      <c r="M185" t="s">
        <v>86</v>
      </c>
      <c r="N185" t="s">
        <v>109</v>
      </c>
      <c r="O185" t="s">
        <v>752</v>
      </c>
      <c r="P185">
        <v>599.97</v>
      </c>
      <c r="Q185">
        <v>3</v>
      </c>
      <c r="R185">
        <v>0</v>
      </c>
      <c r="S185">
        <v>257.98710000000005</v>
      </c>
    </row>
    <row r="186" spans="1:19" x14ac:dyDescent="0.25">
      <c r="A186" t="s">
        <v>746</v>
      </c>
      <c r="B186" s="4">
        <v>44265</v>
      </c>
      <c r="C186" t="s">
        <v>73</v>
      </c>
      <c r="D186" t="s">
        <v>747</v>
      </c>
      <c r="E186" t="s">
        <v>748</v>
      </c>
      <c r="F186" t="s">
        <v>218</v>
      </c>
      <c r="G186" t="s">
        <v>39</v>
      </c>
      <c r="H186" t="s">
        <v>749</v>
      </c>
      <c r="I186" t="s">
        <v>750</v>
      </c>
      <c r="J186">
        <v>39212</v>
      </c>
      <c r="K186" t="s">
        <v>406</v>
      </c>
      <c r="L186" t="s">
        <v>753</v>
      </c>
      <c r="M186" t="s">
        <v>86</v>
      </c>
      <c r="N186" t="s">
        <v>87</v>
      </c>
      <c r="O186" t="s">
        <v>754</v>
      </c>
      <c r="P186">
        <v>38.97</v>
      </c>
      <c r="Q186">
        <v>3</v>
      </c>
      <c r="R186">
        <v>0</v>
      </c>
      <c r="S186">
        <v>0.77940000000000076</v>
      </c>
    </row>
    <row r="187" spans="1:19" x14ac:dyDescent="0.25">
      <c r="A187" t="s">
        <v>746</v>
      </c>
      <c r="B187" s="4">
        <v>44265</v>
      </c>
      <c r="C187" t="s">
        <v>73</v>
      </c>
      <c r="D187" t="s">
        <v>747</v>
      </c>
      <c r="E187" t="s">
        <v>748</v>
      </c>
      <c r="F187" t="s">
        <v>218</v>
      </c>
      <c r="G187" t="s">
        <v>39</v>
      </c>
      <c r="H187" t="s">
        <v>749</v>
      </c>
      <c r="I187" t="s">
        <v>750</v>
      </c>
      <c r="J187">
        <v>39212</v>
      </c>
      <c r="K187" t="s">
        <v>406</v>
      </c>
      <c r="L187" t="s">
        <v>755</v>
      </c>
      <c r="M187" t="s">
        <v>44</v>
      </c>
      <c r="N187" t="s">
        <v>45</v>
      </c>
      <c r="O187" t="s">
        <v>756</v>
      </c>
      <c r="P187">
        <v>45.84</v>
      </c>
      <c r="Q187">
        <v>8</v>
      </c>
      <c r="R187">
        <v>0</v>
      </c>
      <c r="S187">
        <v>22.0032</v>
      </c>
    </row>
    <row r="188" spans="1:19" x14ac:dyDescent="0.25">
      <c r="A188" t="s">
        <v>757</v>
      </c>
      <c r="B188" s="4">
        <v>44278</v>
      </c>
      <c r="C188" t="s">
        <v>73</v>
      </c>
      <c r="D188" t="s">
        <v>328</v>
      </c>
      <c r="E188" t="s">
        <v>329</v>
      </c>
      <c r="F188" t="s">
        <v>66</v>
      </c>
      <c r="G188" t="s">
        <v>39</v>
      </c>
      <c r="H188" t="s">
        <v>758</v>
      </c>
      <c r="I188" t="s">
        <v>41</v>
      </c>
      <c r="J188">
        <v>77840</v>
      </c>
      <c r="K188" t="s">
        <v>42</v>
      </c>
      <c r="L188" t="s">
        <v>759</v>
      </c>
      <c r="M188" t="s">
        <v>44</v>
      </c>
      <c r="N188" t="s">
        <v>152</v>
      </c>
      <c r="O188" t="s">
        <v>760</v>
      </c>
      <c r="P188">
        <v>28.672000000000004</v>
      </c>
      <c r="Q188">
        <v>8</v>
      </c>
      <c r="R188">
        <v>0.2</v>
      </c>
      <c r="S188">
        <v>10.393600000000001</v>
      </c>
    </row>
    <row r="189" spans="1:19" x14ac:dyDescent="0.25">
      <c r="A189" t="s">
        <v>757</v>
      </c>
      <c r="B189" s="4">
        <v>44278</v>
      </c>
      <c r="C189" t="s">
        <v>73</v>
      </c>
      <c r="D189" t="s">
        <v>328</v>
      </c>
      <c r="E189" t="s">
        <v>329</v>
      </c>
      <c r="F189" t="s">
        <v>66</v>
      </c>
      <c r="G189" t="s">
        <v>39</v>
      </c>
      <c r="H189" t="s">
        <v>758</v>
      </c>
      <c r="I189" t="s">
        <v>41</v>
      </c>
      <c r="J189">
        <v>77840</v>
      </c>
      <c r="K189" t="s">
        <v>42</v>
      </c>
      <c r="L189" t="s">
        <v>761</v>
      </c>
      <c r="M189" t="s">
        <v>44</v>
      </c>
      <c r="N189" t="s">
        <v>70</v>
      </c>
      <c r="O189" t="s">
        <v>762</v>
      </c>
      <c r="P189">
        <v>29.311999999999994</v>
      </c>
      <c r="Q189">
        <v>8</v>
      </c>
      <c r="R189">
        <v>0.8</v>
      </c>
      <c r="S189">
        <v>-74.74560000000001</v>
      </c>
    </row>
    <row r="190" spans="1:19" x14ac:dyDescent="0.25">
      <c r="A190" t="s">
        <v>763</v>
      </c>
      <c r="B190" s="4">
        <v>44256</v>
      </c>
      <c r="C190" t="s">
        <v>55</v>
      </c>
      <c r="D190" t="s">
        <v>764</v>
      </c>
      <c r="E190" t="s">
        <v>765</v>
      </c>
      <c r="F190" t="s">
        <v>66</v>
      </c>
      <c r="G190" t="s">
        <v>39</v>
      </c>
      <c r="H190" t="s">
        <v>173</v>
      </c>
      <c r="I190" t="s">
        <v>83</v>
      </c>
      <c r="J190">
        <v>90008</v>
      </c>
      <c r="K190" t="s">
        <v>84</v>
      </c>
      <c r="L190" t="s">
        <v>766</v>
      </c>
      <c r="M190" t="s">
        <v>44</v>
      </c>
      <c r="N190" t="s">
        <v>152</v>
      </c>
      <c r="O190" t="s">
        <v>767</v>
      </c>
      <c r="P190">
        <v>45.36</v>
      </c>
      <c r="Q190">
        <v>7</v>
      </c>
      <c r="R190">
        <v>0</v>
      </c>
      <c r="S190">
        <v>21.772800000000004</v>
      </c>
    </row>
    <row r="191" spans="1:19" x14ac:dyDescent="0.25">
      <c r="A191" t="s">
        <v>763</v>
      </c>
      <c r="B191" s="4">
        <v>44256</v>
      </c>
      <c r="C191" t="s">
        <v>55</v>
      </c>
      <c r="D191" t="s">
        <v>764</v>
      </c>
      <c r="E191" t="s">
        <v>765</v>
      </c>
      <c r="F191" t="s">
        <v>66</v>
      </c>
      <c r="G191" t="s">
        <v>39</v>
      </c>
      <c r="H191" t="s">
        <v>173</v>
      </c>
      <c r="I191" t="s">
        <v>83</v>
      </c>
      <c r="J191">
        <v>90008</v>
      </c>
      <c r="K191" t="s">
        <v>84</v>
      </c>
      <c r="L191" t="s">
        <v>768</v>
      </c>
      <c r="M191" t="s">
        <v>44</v>
      </c>
      <c r="N191" t="s">
        <v>45</v>
      </c>
      <c r="O191" t="s">
        <v>769</v>
      </c>
      <c r="P191">
        <v>10.128</v>
      </c>
      <c r="Q191">
        <v>2</v>
      </c>
      <c r="R191">
        <v>0.2</v>
      </c>
      <c r="S191">
        <v>3.6714000000000002</v>
      </c>
    </row>
    <row r="192" spans="1:19" x14ac:dyDescent="0.25">
      <c r="A192" t="s">
        <v>770</v>
      </c>
      <c r="B192" s="4">
        <v>44274</v>
      </c>
      <c r="C192" t="s">
        <v>35</v>
      </c>
      <c r="D192" t="s">
        <v>771</v>
      </c>
      <c r="E192" t="s">
        <v>772</v>
      </c>
      <c r="F192" t="s">
        <v>66</v>
      </c>
      <c r="G192" t="s">
        <v>39</v>
      </c>
      <c r="H192" t="s">
        <v>773</v>
      </c>
      <c r="I192" t="s">
        <v>774</v>
      </c>
      <c r="J192">
        <v>70506</v>
      </c>
      <c r="K192" t="s">
        <v>406</v>
      </c>
      <c r="L192" t="s">
        <v>775</v>
      </c>
      <c r="M192" t="s">
        <v>44</v>
      </c>
      <c r="N192" t="s">
        <v>435</v>
      </c>
      <c r="O192" t="s">
        <v>776</v>
      </c>
      <c r="P192">
        <v>1665.62</v>
      </c>
      <c r="Q192">
        <v>2</v>
      </c>
      <c r="R192">
        <v>0</v>
      </c>
      <c r="S192">
        <v>33.312400000000025</v>
      </c>
    </row>
    <row r="193" spans="1:19" x14ac:dyDescent="0.25">
      <c r="A193" t="s">
        <v>777</v>
      </c>
      <c r="B193" s="4">
        <v>44264</v>
      </c>
      <c r="C193" t="s">
        <v>55</v>
      </c>
      <c r="D193" t="s">
        <v>778</v>
      </c>
      <c r="E193" t="s">
        <v>779</v>
      </c>
      <c r="F193" t="s">
        <v>38</v>
      </c>
      <c r="G193" t="s">
        <v>39</v>
      </c>
      <c r="H193" t="s">
        <v>323</v>
      </c>
      <c r="I193" t="s">
        <v>324</v>
      </c>
      <c r="J193">
        <v>19143</v>
      </c>
      <c r="K193" t="s">
        <v>60</v>
      </c>
      <c r="L193" t="s">
        <v>780</v>
      </c>
      <c r="M193" t="s">
        <v>44</v>
      </c>
      <c r="N193" t="s">
        <v>175</v>
      </c>
      <c r="O193" t="s">
        <v>781</v>
      </c>
      <c r="P193">
        <v>2.6240000000000001</v>
      </c>
      <c r="Q193">
        <v>1</v>
      </c>
      <c r="R193">
        <v>0.2</v>
      </c>
      <c r="S193">
        <v>0.42639999999999978</v>
      </c>
    </row>
    <row r="194" spans="1:19" x14ac:dyDescent="0.25">
      <c r="A194" t="s">
        <v>782</v>
      </c>
      <c r="B194" s="4">
        <v>44264</v>
      </c>
      <c r="C194" t="s">
        <v>73</v>
      </c>
      <c r="D194" t="s">
        <v>428</v>
      </c>
      <c r="E194" t="s">
        <v>429</v>
      </c>
      <c r="F194" t="s">
        <v>66</v>
      </c>
      <c r="G194" t="s">
        <v>39</v>
      </c>
      <c r="H194" t="s">
        <v>335</v>
      </c>
      <c r="I194" t="s">
        <v>93</v>
      </c>
      <c r="J194">
        <v>48234</v>
      </c>
      <c r="K194" t="s">
        <v>42</v>
      </c>
      <c r="L194" t="s">
        <v>783</v>
      </c>
      <c r="M194" t="s">
        <v>86</v>
      </c>
      <c r="N194" t="s">
        <v>109</v>
      </c>
      <c r="O194" t="s">
        <v>784</v>
      </c>
      <c r="P194">
        <v>104.88</v>
      </c>
      <c r="Q194">
        <v>6</v>
      </c>
      <c r="R194">
        <v>0</v>
      </c>
      <c r="S194">
        <v>41.952000000000005</v>
      </c>
    </row>
    <row r="195" spans="1:19" x14ac:dyDescent="0.25">
      <c r="A195" t="s">
        <v>782</v>
      </c>
      <c r="B195" s="4">
        <v>44264</v>
      </c>
      <c r="C195" t="s">
        <v>73</v>
      </c>
      <c r="D195" t="s">
        <v>428</v>
      </c>
      <c r="E195" t="s">
        <v>429</v>
      </c>
      <c r="F195" t="s">
        <v>66</v>
      </c>
      <c r="G195" t="s">
        <v>39</v>
      </c>
      <c r="H195" t="s">
        <v>335</v>
      </c>
      <c r="I195" t="s">
        <v>93</v>
      </c>
      <c r="J195">
        <v>48234</v>
      </c>
      <c r="K195" t="s">
        <v>42</v>
      </c>
      <c r="L195" t="s">
        <v>785</v>
      </c>
      <c r="M195" t="s">
        <v>44</v>
      </c>
      <c r="N195" t="s">
        <v>175</v>
      </c>
      <c r="O195" t="s">
        <v>786</v>
      </c>
      <c r="P195">
        <v>34.700000000000003</v>
      </c>
      <c r="Q195">
        <v>5</v>
      </c>
      <c r="R195">
        <v>0</v>
      </c>
      <c r="S195">
        <v>12.492000000000001</v>
      </c>
    </row>
    <row r="196" spans="1:19" x14ac:dyDescent="0.25">
      <c r="A196" t="s">
        <v>782</v>
      </c>
      <c r="B196" s="4">
        <v>44264</v>
      </c>
      <c r="C196" t="s">
        <v>73</v>
      </c>
      <c r="D196" t="s">
        <v>428</v>
      </c>
      <c r="E196" t="s">
        <v>429</v>
      </c>
      <c r="F196" t="s">
        <v>66</v>
      </c>
      <c r="G196" t="s">
        <v>39</v>
      </c>
      <c r="H196" t="s">
        <v>335</v>
      </c>
      <c r="I196" t="s">
        <v>93</v>
      </c>
      <c r="J196">
        <v>48234</v>
      </c>
      <c r="K196" t="s">
        <v>42</v>
      </c>
      <c r="L196" t="s">
        <v>787</v>
      </c>
      <c r="M196" t="s">
        <v>44</v>
      </c>
      <c r="N196" t="s">
        <v>45</v>
      </c>
      <c r="O196" t="s">
        <v>788</v>
      </c>
      <c r="P196">
        <v>33.72</v>
      </c>
      <c r="Q196">
        <v>4</v>
      </c>
      <c r="R196">
        <v>0</v>
      </c>
      <c r="S196">
        <v>15.511199999999999</v>
      </c>
    </row>
    <row r="197" spans="1:19" x14ac:dyDescent="0.25">
      <c r="A197" t="s">
        <v>782</v>
      </c>
      <c r="B197" s="4">
        <v>44264</v>
      </c>
      <c r="C197" t="s">
        <v>73</v>
      </c>
      <c r="D197" t="s">
        <v>428</v>
      </c>
      <c r="E197" t="s">
        <v>429</v>
      </c>
      <c r="F197" t="s">
        <v>66</v>
      </c>
      <c r="G197" t="s">
        <v>39</v>
      </c>
      <c r="H197" t="s">
        <v>335</v>
      </c>
      <c r="I197" t="s">
        <v>93</v>
      </c>
      <c r="J197">
        <v>48234</v>
      </c>
      <c r="K197" t="s">
        <v>42</v>
      </c>
      <c r="L197" t="s">
        <v>789</v>
      </c>
      <c r="M197" t="s">
        <v>44</v>
      </c>
      <c r="N197" t="s">
        <v>152</v>
      </c>
      <c r="O197" t="s">
        <v>790</v>
      </c>
      <c r="P197">
        <v>14.940000000000001</v>
      </c>
      <c r="Q197">
        <v>3</v>
      </c>
      <c r="R197">
        <v>0</v>
      </c>
      <c r="S197">
        <v>7.0218000000000007</v>
      </c>
    </row>
    <row r="198" spans="1:19" x14ac:dyDescent="0.25">
      <c r="A198" t="s">
        <v>791</v>
      </c>
      <c r="B198" s="4">
        <v>44279</v>
      </c>
      <c r="C198" t="s">
        <v>55</v>
      </c>
      <c r="D198" t="s">
        <v>792</v>
      </c>
      <c r="E198" t="s">
        <v>793</v>
      </c>
      <c r="F198" t="s">
        <v>38</v>
      </c>
      <c r="G198" t="s">
        <v>39</v>
      </c>
      <c r="H198" t="s">
        <v>483</v>
      </c>
      <c r="I198" t="s">
        <v>59</v>
      </c>
      <c r="J198">
        <v>14609</v>
      </c>
      <c r="K198" t="s">
        <v>60</v>
      </c>
      <c r="L198" t="s">
        <v>794</v>
      </c>
      <c r="M198" t="s">
        <v>48</v>
      </c>
      <c r="N198" t="s">
        <v>49</v>
      </c>
      <c r="O198" t="s">
        <v>795</v>
      </c>
      <c r="P198">
        <v>37.93</v>
      </c>
      <c r="Q198">
        <v>1</v>
      </c>
      <c r="R198">
        <v>0</v>
      </c>
      <c r="S198">
        <v>6.8273999999999972</v>
      </c>
    </row>
    <row r="199" spans="1:19" x14ac:dyDescent="0.25">
      <c r="A199" t="s">
        <v>796</v>
      </c>
      <c r="B199" s="4">
        <v>44281</v>
      </c>
      <c r="C199" t="s">
        <v>55</v>
      </c>
      <c r="D199" t="s">
        <v>797</v>
      </c>
      <c r="E199" t="s">
        <v>798</v>
      </c>
      <c r="F199" t="s">
        <v>218</v>
      </c>
      <c r="G199" t="s">
        <v>39</v>
      </c>
      <c r="H199" t="s">
        <v>219</v>
      </c>
      <c r="I199" t="s">
        <v>119</v>
      </c>
      <c r="J199">
        <v>43229</v>
      </c>
      <c r="K199" t="s">
        <v>60</v>
      </c>
      <c r="L199" t="s">
        <v>799</v>
      </c>
      <c r="M199" t="s">
        <v>44</v>
      </c>
      <c r="N199" t="s">
        <v>45</v>
      </c>
      <c r="O199" t="s">
        <v>800</v>
      </c>
      <c r="P199">
        <v>3.1320000000000001</v>
      </c>
      <c r="Q199">
        <v>2</v>
      </c>
      <c r="R199">
        <v>0.7</v>
      </c>
      <c r="S199">
        <v>-2.6099999999999994</v>
      </c>
    </row>
    <row r="200" spans="1:19" x14ac:dyDescent="0.25">
      <c r="A200" t="s">
        <v>801</v>
      </c>
      <c r="B200" s="4">
        <v>44262</v>
      </c>
      <c r="C200" t="s">
        <v>55</v>
      </c>
      <c r="D200" t="s">
        <v>802</v>
      </c>
      <c r="E200" t="s">
        <v>803</v>
      </c>
      <c r="F200" t="s">
        <v>38</v>
      </c>
      <c r="G200" t="s">
        <v>39</v>
      </c>
      <c r="H200" t="s">
        <v>804</v>
      </c>
      <c r="I200" t="s">
        <v>41</v>
      </c>
      <c r="J200">
        <v>78207</v>
      </c>
      <c r="K200" t="s">
        <v>42</v>
      </c>
      <c r="L200" t="s">
        <v>805</v>
      </c>
      <c r="M200" t="s">
        <v>44</v>
      </c>
      <c r="N200" t="s">
        <v>101</v>
      </c>
      <c r="O200" t="s">
        <v>806</v>
      </c>
      <c r="P200">
        <v>3.5519999999999996</v>
      </c>
      <c r="Q200">
        <v>3</v>
      </c>
      <c r="R200">
        <v>0.2</v>
      </c>
      <c r="S200">
        <v>1.2431999999999999</v>
      </c>
    </row>
    <row r="201" spans="1:19" x14ac:dyDescent="0.25">
      <c r="A201" t="s">
        <v>801</v>
      </c>
      <c r="B201" s="4">
        <v>44262</v>
      </c>
      <c r="C201" t="s">
        <v>55</v>
      </c>
      <c r="D201" t="s">
        <v>802</v>
      </c>
      <c r="E201" t="s">
        <v>803</v>
      </c>
      <c r="F201" t="s">
        <v>38</v>
      </c>
      <c r="G201" t="s">
        <v>39</v>
      </c>
      <c r="H201" t="s">
        <v>804</v>
      </c>
      <c r="I201" t="s">
        <v>41</v>
      </c>
      <c r="J201">
        <v>78207</v>
      </c>
      <c r="K201" t="s">
        <v>42</v>
      </c>
      <c r="L201" t="s">
        <v>807</v>
      </c>
      <c r="M201" t="s">
        <v>44</v>
      </c>
      <c r="N201" t="s">
        <v>152</v>
      </c>
      <c r="O201" t="s">
        <v>808</v>
      </c>
      <c r="P201">
        <v>15.552000000000003</v>
      </c>
      <c r="Q201">
        <v>3</v>
      </c>
      <c r="R201">
        <v>0.2</v>
      </c>
      <c r="S201">
        <v>5.4432</v>
      </c>
    </row>
    <row r="202" spans="1:19" x14ac:dyDescent="0.25">
      <c r="A202" t="s">
        <v>809</v>
      </c>
      <c r="B202" s="4">
        <v>44262</v>
      </c>
      <c r="C202" t="s">
        <v>35</v>
      </c>
      <c r="D202" t="s">
        <v>810</v>
      </c>
      <c r="E202" t="s">
        <v>811</v>
      </c>
      <c r="F202" t="s">
        <v>66</v>
      </c>
      <c r="G202" t="s">
        <v>39</v>
      </c>
      <c r="H202" t="s">
        <v>596</v>
      </c>
      <c r="I202" t="s">
        <v>119</v>
      </c>
      <c r="J202">
        <v>43615</v>
      </c>
      <c r="K202" t="s">
        <v>60</v>
      </c>
      <c r="L202" t="s">
        <v>812</v>
      </c>
      <c r="M202" t="s">
        <v>86</v>
      </c>
      <c r="N202" t="s">
        <v>109</v>
      </c>
      <c r="O202" t="s">
        <v>813</v>
      </c>
      <c r="P202">
        <v>127.98399999999999</v>
      </c>
      <c r="Q202">
        <v>2</v>
      </c>
      <c r="R202">
        <v>0.2</v>
      </c>
      <c r="S202">
        <v>25.596799999999998</v>
      </c>
    </row>
    <row r="203" spans="1:19" x14ac:dyDescent="0.25">
      <c r="A203" t="s">
        <v>814</v>
      </c>
      <c r="B203" s="4">
        <v>44270</v>
      </c>
      <c r="C203" t="s">
        <v>55</v>
      </c>
      <c r="D203" t="s">
        <v>815</v>
      </c>
      <c r="E203" t="s">
        <v>816</v>
      </c>
      <c r="F203" t="s">
        <v>218</v>
      </c>
      <c r="G203" t="s">
        <v>39</v>
      </c>
      <c r="H203" t="s">
        <v>531</v>
      </c>
      <c r="I203" t="s">
        <v>532</v>
      </c>
      <c r="J203">
        <v>98115</v>
      </c>
      <c r="K203" t="s">
        <v>84</v>
      </c>
      <c r="L203" t="s">
        <v>817</v>
      </c>
      <c r="M203" t="s">
        <v>48</v>
      </c>
      <c r="N203" t="s">
        <v>49</v>
      </c>
      <c r="O203" t="s">
        <v>818</v>
      </c>
      <c r="P203">
        <v>22.77</v>
      </c>
      <c r="Q203">
        <v>3</v>
      </c>
      <c r="R203">
        <v>0</v>
      </c>
      <c r="S203">
        <v>9.7911000000000001</v>
      </c>
    </row>
    <row r="204" spans="1:19" x14ac:dyDescent="0.25">
      <c r="A204" t="s">
        <v>819</v>
      </c>
      <c r="B204" s="4">
        <v>44279</v>
      </c>
      <c r="C204" t="s">
        <v>55</v>
      </c>
      <c r="D204" t="s">
        <v>820</v>
      </c>
      <c r="E204" t="s">
        <v>821</v>
      </c>
      <c r="F204" t="s">
        <v>66</v>
      </c>
      <c r="G204" t="s">
        <v>39</v>
      </c>
      <c r="H204" t="s">
        <v>773</v>
      </c>
      <c r="I204" t="s">
        <v>774</v>
      </c>
      <c r="J204">
        <v>70506</v>
      </c>
      <c r="K204" t="s">
        <v>406</v>
      </c>
      <c r="L204" t="s">
        <v>822</v>
      </c>
      <c r="M204" t="s">
        <v>86</v>
      </c>
      <c r="N204" t="s">
        <v>823</v>
      </c>
      <c r="O204" t="s">
        <v>824</v>
      </c>
      <c r="P204">
        <v>479.97</v>
      </c>
      <c r="Q204">
        <v>3</v>
      </c>
      <c r="R204">
        <v>0</v>
      </c>
      <c r="S204">
        <v>239.98500000000001</v>
      </c>
    </row>
    <row r="205" spans="1:19" x14ac:dyDescent="0.25">
      <c r="A205" t="s">
        <v>819</v>
      </c>
      <c r="B205" s="4">
        <v>44279</v>
      </c>
      <c r="C205" t="s">
        <v>55</v>
      </c>
      <c r="D205" t="s">
        <v>820</v>
      </c>
      <c r="E205" t="s">
        <v>821</v>
      </c>
      <c r="F205" t="s">
        <v>66</v>
      </c>
      <c r="G205" t="s">
        <v>39</v>
      </c>
      <c r="H205" t="s">
        <v>773</v>
      </c>
      <c r="I205" t="s">
        <v>774</v>
      </c>
      <c r="J205">
        <v>70506</v>
      </c>
      <c r="K205" t="s">
        <v>406</v>
      </c>
      <c r="L205" t="s">
        <v>825</v>
      </c>
      <c r="M205" t="s">
        <v>48</v>
      </c>
      <c r="N205" t="s">
        <v>168</v>
      </c>
      <c r="O205" t="s">
        <v>826</v>
      </c>
      <c r="P205">
        <v>232.88</v>
      </c>
      <c r="Q205">
        <v>4</v>
      </c>
      <c r="R205">
        <v>0</v>
      </c>
      <c r="S205">
        <v>60.5488</v>
      </c>
    </row>
    <row r="206" spans="1:19" x14ac:dyDescent="0.25">
      <c r="A206" t="s">
        <v>827</v>
      </c>
      <c r="B206" s="4">
        <v>44276</v>
      </c>
      <c r="C206" t="s">
        <v>238</v>
      </c>
      <c r="D206" t="s">
        <v>828</v>
      </c>
      <c r="E206" t="s">
        <v>829</v>
      </c>
      <c r="F206" t="s">
        <v>218</v>
      </c>
      <c r="G206" t="s">
        <v>39</v>
      </c>
      <c r="H206" t="s">
        <v>830</v>
      </c>
      <c r="I206" t="s">
        <v>351</v>
      </c>
      <c r="J206">
        <v>68025</v>
      </c>
      <c r="K206" t="s">
        <v>42</v>
      </c>
      <c r="L206" t="s">
        <v>605</v>
      </c>
      <c r="M206" t="s">
        <v>48</v>
      </c>
      <c r="N206" t="s">
        <v>49</v>
      </c>
      <c r="O206" t="s">
        <v>606</v>
      </c>
      <c r="P206">
        <v>15.92</v>
      </c>
      <c r="Q206">
        <v>2</v>
      </c>
      <c r="R206">
        <v>0</v>
      </c>
      <c r="S206">
        <v>7.0048000000000012</v>
      </c>
    </row>
    <row r="207" spans="1:19" x14ac:dyDescent="0.25">
      <c r="A207" t="s">
        <v>831</v>
      </c>
      <c r="B207" s="4">
        <v>44256</v>
      </c>
      <c r="C207" t="s">
        <v>35</v>
      </c>
      <c r="D207" t="s">
        <v>233</v>
      </c>
      <c r="E207" t="s">
        <v>234</v>
      </c>
      <c r="F207" t="s">
        <v>66</v>
      </c>
      <c r="G207" t="s">
        <v>39</v>
      </c>
      <c r="H207" t="s">
        <v>323</v>
      </c>
      <c r="I207" t="s">
        <v>324</v>
      </c>
      <c r="J207">
        <v>19120</v>
      </c>
      <c r="K207" t="s">
        <v>60</v>
      </c>
      <c r="L207" t="s">
        <v>832</v>
      </c>
      <c r="M207" t="s">
        <v>44</v>
      </c>
      <c r="N207" t="s">
        <v>52</v>
      </c>
      <c r="O207" t="s">
        <v>833</v>
      </c>
      <c r="P207">
        <v>37.392000000000003</v>
      </c>
      <c r="Q207">
        <v>3</v>
      </c>
      <c r="R207">
        <v>0.2</v>
      </c>
      <c r="S207">
        <v>2.336999999999998</v>
      </c>
    </row>
    <row r="208" spans="1:19" x14ac:dyDescent="0.25">
      <c r="A208" t="s">
        <v>831</v>
      </c>
      <c r="B208" s="4">
        <v>44256</v>
      </c>
      <c r="C208" t="s">
        <v>35</v>
      </c>
      <c r="D208" t="s">
        <v>233</v>
      </c>
      <c r="E208" t="s">
        <v>234</v>
      </c>
      <c r="F208" t="s">
        <v>66</v>
      </c>
      <c r="G208" t="s">
        <v>39</v>
      </c>
      <c r="H208" t="s">
        <v>323</v>
      </c>
      <c r="I208" t="s">
        <v>324</v>
      </c>
      <c r="J208">
        <v>19120</v>
      </c>
      <c r="K208" t="s">
        <v>60</v>
      </c>
      <c r="L208" t="s">
        <v>834</v>
      </c>
      <c r="M208" t="s">
        <v>48</v>
      </c>
      <c r="N208" t="s">
        <v>49</v>
      </c>
      <c r="O208" t="s">
        <v>835</v>
      </c>
      <c r="P208">
        <v>79.12</v>
      </c>
      <c r="Q208">
        <v>5</v>
      </c>
      <c r="R208">
        <v>0.2</v>
      </c>
      <c r="S208">
        <v>13.845999999999997</v>
      </c>
    </row>
    <row r="209" spans="1:19" x14ac:dyDescent="0.25">
      <c r="A209" t="s">
        <v>836</v>
      </c>
      <c r="B209" s="4">
        <v>44264</v>
      </c>
      <c r="C209" t="s">
        <v>55</v>
      </c>
      <c r="D209" t="s">
        <v>837</v>
      </c>
      <c r="E209" t="s">
        <v>838</v>
      </c>
      <c r="F209" t="s">
        <v>66</v>
      </c>
      <c r="G209" t="s">
        <v>39</v>
      </c>
      <c r="H209" t="s">
        <v>714</v>
      </c>
      <c r="I209" t="s">
        <v>715</v>
      </c>
      <c r="J209">
        <v>60623</v>
      </c>
      <c r="K209" t="s">
        <v>42</v>
      </c>
      <c r="L209" t="s">
        <v>839</v>
      </c>
      <c r="M209" t="s">
        <v>44</v>
      </c>
      <c r="N209" t="s">
        <v>152</v>
      </c>
      <c r="O209" t="s">
        <v>840</v>
      </c>
      <c r="P209">
        <v>15.984000000000002</v>
      </c>
      <c r="Q209">
        <v>2</v>
      </c>
      <c r="R209">
        <v>0.2</v>
      </c>
      <c r="S209">
        <v>4.9949999999999992</v>
      </c>
    </row>
    <row r="210" spans="1:19" x14ac:dyDescent="0.25">
      <c r="A210" t="s">
        <v>841</v>
      </c>
      <c r="B210" s="4">
        <v>44284</v>
      </c>
      <c r="C210" t="s">
        <v>55</v>
      </c>
      <c r="D210" t="s">
        <v>36</v>
      </c>
      <c r="E210" t="s">
        <v>37</v>
      </c>
      <c r="F210" t="s">
        <v>38</v>
      </c>
      <c r="G210" t="s">
        <v>39</v>
      </c>
      <c r="H210" t="s">
        <v>842</v>
      </c>
      <c r="I210" t="s">
        <v>93</v>
      </c>
      <c r="J210">
        <v>49505</v>
      </c>
      <c r="K210" t="s">
        <v>42</v>
      </c>
      <c r="L210" t="s">
        <v>843</v>
      </c>
      <c r="M210" t="s">
        <v>44</v>
      </c>
      <c r="N210" t="s">
        <v>152</v>
      </c>
      <c r="O210" t="s">
        <v>844</v>
      </c>
      <c r="P210">
        <v>209.7</v>
      </c>
      <c r="Q210">
        <v>2</v>
      </c>
      <c r="R210">
        <v>0</v>
      </c>
      <c r="S210">
        <v>100.65599999999999</v>
      </c>
    </row>
    <row r="211" spans="1:19" x14ac:dyDescent="0.25">
      <c r="A211" t="s">
        <v>845</v>
      </c>
      <c r="B211" s="4">
        <v>44283</v>
      </c>
      <c r="C211" t="s">
        <v>55</v>
      </c>
      <c r="D211" t="s">
        <v>467</v>
      </c>
      <c r="E211" t="s">
        <v>468</v>
      </c>
      <c r="F211" t="s">
        <v>218</v>
      </c>
      <c r="G211" t="s">
        <v>39</v>
      </c>
      <c r="H211" t="s">
        <v>846</v>
      </c>
      <c r="I211" t="s">
        <v>847</v>
      </c>
      <c r="J211">
        <v>37211</v>
      </c>
      <c r="K211" t="s">
        <v>406</v>
      </c>
      <c r="L211" t="s">
        <v>848</v>
      </c>
      <c r="M211" t="s">
        <v>44</v>
      </c>
      <c r="N211" t="s">
        <v>52</v>
      </c>
      <c r="O211" t="s">
        <v>849</v>
      </c>
      <c r="P211">
        <v>64.784000000000006</v>
      </c>
      <c r="Q211">
        <v>1</v>
      </c>
      <c r="R211">
        <v>0.2</v>
      </c>
      <c r="S211">
        <v>-12.956800000000005</v>
      </c>
    </row>
    <row r="212" spans="1:19" x14ac:dyDescent="0.25">
      <c r="A212" t="s">
        <v>850</v>
      </c>
      <c r="B212" s="4">
        <v>44264</v>
      </c>
      <c r="C212" t="s">
        <v>73</v>
      </c>
      <c r="D212" t="s">
        <v>851</v>
      </c>
      <c r="E212" t="s">
        <v>852</v>
      </c>
      <c r="F212" t="s">
        <v>218</v>
      </c>
      <c r="G212" t="s">
        <v>39</v>
      </c>
      <c r="H212" t="s">
        <v>173</v>
      </c>
      <c r="I212" t="s">
        <v>83</v>
      </c>
      <c r="J212">
        <v>90004</v>
      </c>
      <c r="K212" t="s">
        <v>84</v>
      </c>
      <c r="L212" t="s">
        <v>853</v>
      </c>
      <c r="M212" t="s">
        <v>44</v>
      </c>
      <c r="N212" t="s">
        <v>175</v>
      </c>
      <c r="O212" t="s">
        <v>854</v>
      </c>
      <c r="P212">
        <v>11.16</v>
      </c>
      <c r="Q212">
        <v>2</v>
      </c>
      <c r="R212">
        <v>0</v>
      </c>
      <c r="S212">
        <v>2.7899999999999991</v>
      </c>
    </row>
    <row r="213" spans="1:19" x14ac:dyDescent="0.25">
      <c r="A213" t="s">
        <v>850</v>
      </c>
      <c r="B213" s="4">
        <v>44264</v>
      </c>
      <c r="C213" t="s">
        <v>73</v>
      </c>
      <c r="D213" t="s">
        <v>851</v>
      </c>
      <c r="E213" t="s">
        <v>852</v>
      </c>
      <c r="F213" t="s">
        <v>218</v>
      </c>
      <c r="G213" t="s">
        <v>39</v>
      </c>
      <c r="H213" t="s">
        <v>173</v>
      </c>
      <c r="I213" t="s">
        <v>83</v>
      </c>
      <c r="J213">
        <v>90004</v>
      </c>
      <c r="K213" t="s">
        <v>84</v>
      </c>
      <c r="L213" t="s">
        <v>855</v>
      </c>
      <c r="M213" t="s">
        <v>48</v>
      </c>
      <c r="N213" t="s">
        <v>155</v>
      </c>
      <c r="O213" t="s">
        <v>856</v>
      </c>
      <c r="P213">
        <v>896.32799999999997</v>
      </c>
      <c r="Q213">
        <v>9</v>
      </c>
      <c r="R213">
        <v>0.2</v>
      </c>
      <c r="S213">
        <v>22.408199999999994</v>
      </c>
    </row>
    <row r="214" spans="1:19" x14ac:dyDescent="0.25">
      <c r="A214" t="s">
        <v>850</v>
      </c>
      <c r="B214" s="4">
        <v>44264</v>
      </c>
      <c r="C214" t="s">
        <v>73</v>
      </c>
      <c r="D214" t="s">
        <v>851</v>
      </c>
      <c r="E214" t="s">
        <v>852</v>
      </c>
      <c r="F214" t="s">
        <v>218</v>
      </c>
      <c r="G214" t="s">
        <v>39</v>
      </c>
      <c r="H214" t="s">
        <v>173</v>
      </c>
      <c r="I214" t="s">
        <v>83</v>
      </c>
      <c r="J214">
        <v>90004</v>
      </c>
      <c r="K214" t="s">
        <v>84</v>
      </c>
      <c r="L214" t="s">
        <v>857</v>
      </c>
      <c r="M214" t="s">
        <v>44</v>
      </c>
      <c r="N214" t="s">
        <v>70</v>
      </c>
      <c r="O214" t="s">
        <v>858</v>
      </c>
      <c r="P214">
        <v>189</v>
      </c>
      <c r="Q214">
        <v>1</v>
      </c>
      <c r="R214">
        <v>0</v>
      </c>
      <c r="S214">
        <v>68.039999999999992</v>
      </c>
    </row>
    <row r="215" spans="1:19" x14ac:dyDescent="0.25">
      <c r="A215" t="s">
        <v>859</v>
      </c>
      <c r="B215" s="4">
        <v>44262</v>
      </c>
      <c r="C215" t="s">
        <v>55</v>
      </c>
      <c r="D215" t="s">
        <v>860</v>
      </c>
      <c r="E215" t="s">
        <v>861</v>
      </c>
      <c r="F215" t="s">
        <v>66</v>
      </c>
      <c r="G215" t="s">
        <v>39</v>
      </c>
      <c r="H215" t="s">
        <v>862</v>
      </c>
      <c r="I215" t="s">
        <v>413</v>
      </c>
      <c r="J215">
        <v>23223</v>
      </c>
      <c r="K215" t="s">
        <v>406</v>
      </c>
      <c r="L215" t="s">
        <v>863</v>
      </c>
      <c r="M215" t="s">
        <v>48</v>
      </c>
      <c r="N215" t="s">
        <v>49</v>
      </c>
      <c r="O215" t="s">
        <v>864</v>
      </c>
      <c r="P215">
        <v>82.38</v>
      </c>
      <c r="Q215">
        <v>6</v>
      </c>
      <c r="R215">
        <v>0</v>
      </c>
      <c r="S215">
        <v>25.537799999999997</v>
      </c>
    </row>
    <row r="216" spans="1:19" x14ac:dyDescent="0.25">
      <c r="A216" t="s">
        <v>865</v>
      </c>
      <c r="B216" s="4">
        <v>44272</v>
      </c>
      <c r="C216" t="s">
        <v>55</v>
      </c>
      <c r="D216" t="s">
        <v>866</v>
      </c>
      <c r="E216" t="s">
        <v>867</v>
      </c>
      <c r="F216" t="s">
        <v>66</v>
      </c>
      <c r="G216" t="s">
        <v>39</v>
      </c>
      <c r="H216" t="s">
        <v>868</v>
      </c>
      <c r="I216" t="s">
        <v>413</v>
      </c>
      <c r="J216">
        <v>22204</v>
      </c>
      <c r="K216" t="s">
        <v>406</v>
      </c>
      <c r="L216" t="s">
        <v>129</v>
      </c>
      <c r="M216" t="s">
        <v>44</v>
      </c>
      <c r="N216" t="s">
        <v>52</v>
      </c>
      <c r="O216" t="s">
        <v>130</v>
      </c>
      <c r="P216">
        <v>544.38</v>
      </c>
      <c r="Q216">
        <v>3</v>
      </c>
      <c r="R216">
        <v>0</v>
      </c>
      <c r="S216">
        <v>157.87019999999993</v>
      </c>
    </row>
    <row r="217" spans="1:19" x14ac:dyDescent="0.25">
      <c r="A217" t="s">
        <v>869</v>
      </c>
      <c r="B217" s="4">
        <v>44265</v>
      </c>
      <c r="C217" t="s">
        <v>73</v>
      </c>
      <c r="D217" t="s">
        <v>870</v>
      </c>
      <c r="E217" t="s">
        <v>871</v>
      </c>
      <c r="F217" t="s">
        <v>66</v>
      </c>
      <c r="G217" t="s">
        <v>39</v>
      </c>
      <c r="H217" t="s">
        <v>872</v>
      </c>
      <c r="I217" t="s">
        <v>83</v>
      </c>
      <c r="J217">
        <v>95207</v>
      </c>
      <c r="K217" t="s">
        <v>84</v>
      </c>
      <c r="L217" t="s">
        <v>873</v>
      </c>
      <c r="M217" t="s">
        <v>86</v>
      </c>
      <c r="N217" t="s">
        <v>87</v>
      </c>
      <c r="O217" t="s">
        <v>874</v>
      </c>
      <c r="P217">
        <v>95.84</v>
      </c>
      <c r="Q217">
        <v>4</v>
      </c>
      <c r="R217">
        <v>0.2</v>
      </c>
      <c r="S217">
        <v>34.741999999999997</v>
      </c>
    </row>
    <row r="218" spans="1:19" x14ac:dyDescent="0.25">
      <c r="A218" t="s">
        <v>869</v>
      </c>
      <c r="B218" s="4">
        <v>44265</v>
      </c>
      <c r="C218" t="s">
        <v>73</v>
      </c>
      <c r="D218" t="s">
        <v>870</v>
      </c>
      <c r="E218" t="s">
        <v>871</v>
      </c>
      <c r="F218" t="s">
        <v>66</v>
      </c>
      <c r="G218" t="s">
        <v>39</v>
      </c>
      <c r="H218" t="s">
        <v>872</v>
      </c>
      <c r="I218" t="s">
        <v>83</v>
      </c>
      <c r="J218">
        <v>95207</v>
      </c>
      <c r="K218" t="s">
        <v>84</v>
      </c>
      <c r="L218" t="s">
        <v>875</v>
      </c>
      <c r="M218" t="s">
        <v>44</v>
      </c>
      <c r="N218" t="s">
        <v>152</v>
      </c>
      <c r="O218" t="s">
        <v>876</v>
      </c>
      <c r="P218">
        <v>12.96</v>
      </c>
      <c r="Q218">
        <v>2</v>
      </c>
      <c r="R218">
        <v>0</v>
      </c>
      <c r="S218">
        <v>6.2208000000000006</v>
      </c>
    </row>
    <row r="219" spans="1:19" x14ac:dyDescent="0.25">
      <c r="A219" t="s">
        <v>877</v>
      </c>
      <c r="B219" s="4">
        <v>44266</v>
      </c>
      <c r="C219" t="s">
        <v>238</v>
      </c>
      <c r="D219" t="s">
        <v>878</v>
      </c>
      <c r="E219" t="s">
        <v>879</v>
      </c>
      <c r="F219" t="s">
        <v>66</v>
      </c>
      <c r="G219" t="s">
        <v>39</v>
      </c>
      <c r="H219" t="s">
        <v>880</v>
      </c>
      <c r="I219" t="s">
        <v>715</v>
      </c>
      <c r="J219">
        <v>60505</v>
      </c>
      <c r="K219" t="s">
        <v>42</v>
      </c>
      <c r="L219" t="s">
        <v>881</v>
      </c>
      <c r="M219" t="s">
        <v>44</v>
      </c>
      <c r="N219" t="s">
        <v>152</v>
      </c>
      <c r="O219" t="s">
        <v>882</v>
      </c>
      <c r="P219">
        <v>10.368000000000002</v>
      </c>
      <c r="Q219">
        <v>2</v>
      </c>
      <c r="R219">
        <v>0.2</v>
      </c>
      <c r="S219">
        <v>3.6288</v>
      </c>
    </row>
    <row r="220" spans="1:19" x14ac:dyDescent="0.25">
      <c r="A220" t="s">
        <v>877</v>
      </c>
      <c r="B220" s="4">
        <v>44266</v>
      </c>
      <c r="C220" t="s">
        <v>238</v>
      </c>
      <c r="D220" t="s">
        <v>878</v>
      </c>
      <c r="E220" t="s">
        <v>879</v>
      </c>
      <c r="F220" t="s">
        <v>66</v>
      </c>
      <c r="G220" t="s">
        <v>39</v>
      </c>
      <c r="H220" t="s">
        <v>880</v>
      </c>
      <c r="I220" t="s">
        <v>715</v>
      </c>
      <c r="J220">
        <v>60505</v>
      </c>
      <c r="K220" t="s">
        <v>42</v>
      </c>
      <c r="L220" t="s">
        <v>377</v>
      </c>
      <c r="M220" t="s">
        <v>48</v>
      </c>
      <c r="N220" t="s">
        <v>49</v>
      </c>
      <c r="O220" t="s">
        <v>378</v>
      </c>
      <c r="P220">
        <v>77.720000000000013</v>
      </c>
      <c r="Q220">
        <v>1</v>
      </c>
      <c r="R220">
        <v>0.6</v>
      </c>
      <c r="S220">
        <v>-66.061999999999998</v>
      </c>
    </row>
    <row r="221" spans="1:19" x14ac:dyDescent="0.25">
      <c r="A221" t="s">
        <v>877</v>
      </c>
      <c r="B221" s="4">
        <v>44266</v>
      </c>
      <c r="C221" t="s">
        <v>238</v>
      </c>
      <c r="D221" t="s">
        <v>878</v>
      </c>
      <c r="E221" t="s">
        <v>879</v>
      </c>
      <c r="F221" t="s">
        <v>66</v>
      </c>
      <c r="G221" t="s">
        <v>39</v>
      </c>
      <c r="H221" t="s">
        <v>880</v>
      </c>
      <c r="I221" t="s">
        <v>715</v>
      </c>
      <c r="J221">
        <v>60505</v>
      </c>
      <c r="K221" t="s">
        <v>42</v>
      </c>
      <c r="L221" t="s">
        <v>883</v>
      </c>
      <c r="M221" t="s">
        <v>48</v>
      </c>
      <c r="N221" t="s">
        <v>168</v>
      </c>
      <c r="O221" t="s">
        <v>884</v>
      </c>
      <c r="P221">
        <v>520.46399999999994</v>
      </c>
      <c r="Q221">
        <v>2</v>
      </c>
      <c r="R221">
        <v>0.3</v>
      </c>
      <c r="S221">
        <v>-14.870399999999961</v>
      </c>
    </row>
    <row r="222" spans="1:19" x14ac:dyDescent="0.25">
      <c r="A222" t="s">
        <v>885</v>
      </c>
      <c r="B222" s="4">
        <v>44257</v>
      </c>
      <c r="C222" t="s">
        <v>55</v>
      </c>
      <c r="D222" t="s">
        <v>886</v>
      </c>
      <c r="E222" t="s">
        <v>887</v>
      </c>
      <c r="F222" t="s">
        <v>66</v>
      </c>
      <c r="G222" t="s">
        <v>39</v>
      </c>
      <c r="H222" t="s">
        <v>323</v>
      </c>
      <c r="I222" t="s">
        <v>324</v>
      </c>
      <c r="J222">
        <v>19140</v>
      </c>
      <c r="K222" t="s">
        <v>60</v>
      </c>
      <c r="L222" t="s">
        <v>888</v>
      </c>
      <c r="M222" t="s">
        <v>44</v>
      </c>
      <c r="N222" t="s">
        <v>45</v>
      </c>
      <c r="O222" t="s">
        <v>889</v>
      </c>
      <c r="P222">
        <v>631.17600000000016</v>
      </c>
      <c r="Q222">
        <v>4</v>
      </c>
      <c r="R222">
        <v>0.7</v>
      </c>
      <c r="S222">
        <v>-462.86239999999998</v>
      </c>
    </row>
    <row r="223" spans="1:19" x14ac:dyDescent="0.25">
      <c r="A223" t="s">
        <v>890</v>
      </c>
      <c r="B223" s="4">
        <v>44258</v>
      </c>
      <c r="C223" t="s">
        <v>55</v>
      </c>
      <c r="D223" t="s">
        <v>891</v>
      </c>
      <c r="E223" t="s">
        <v>892</v>
      </c>
      <c r="F223" t="s">
        <v>66</v>
      </c>
      <c r="G223" t="s">
        <v>39</v>
      </c>
      <c r="H223" t="s">
        <v>893</v>
      </c>
      <c r="I223" t="s">
        <v>894</v>
      </c>
      <c r="J223">
        <v>28314</v>
      </c>
      <c r="K223" t="s">
        <v>406</v>
      </c>
      <c r="L223" t="s">
        <v>895</v>
      </c>
      <c r="M223" t="s">
        <v>44</v>
      </c>
      <c r="N223" t="s">
        <v>70</v>
      </c>
      <c r="O223" t="s">
        <v>896</v>
      </c>
      <c r="P223">
        <v>45.216000000000001</v>
      </c>
      <c r="Q223">
        <v>3</v>
      </c>
      <c r="R223">
        <v>0.2</v>
      </c>
      <c r="S223">
        <v>4.5215999999999994</v>
      </c>
    </row>
    <row r="224" spans="1:19" x14ac:dyDescent="0.25">
      <c r="A224" t="s">
        <v>890</v>
      </c>
      <c r="B224" s="4">
        <v>44258</v>
      </c>
      <c r="C224" t="s">
        <v>55</v>
      </c>
      <c r="D224" t="s">
        <v>891</v>
      </c>
      <c r="E224" t="s">
        <v>892</v>
      </c>
      <c r="F224" t="s">
        <v>66</v>
      </c>
      <c r="G224" t="s">
        <v>39</v>
      </c>
      <c r="H224" t="s">
        <v>893</v>
      </c>
      <c r="I224" t="s">
        <v>894</v>
      </c>
      <c r="J224">
        <v>28314</v>
      </c>
      <c r="K224" t="s">
        <v>406</v>
      </c>
      <c r="L224" t="s">
        <v>897</v>
      </c>
      <c r="M224" t="s">
        <v>44</v>
      </c>
      <c r="N224" t="s">
        <v>45</v>
      </c>
      <c r="O224" t="s">
        <v>898</v>
      </c>
      <c r="P224">
        <v>28.782000000000004</v>
      </c>
      <c r="Q224">
        <v>6</v>
      </c>
      <c r="R224">
        <v>0.7</v>
      </c>
      <c r="S224">
        <v>-21.1068</v>
      </c>
    </row>
    <row r="225" spans="1:19" x14ac:dyDescent="0.25">
      <c r="A225" t="s">
        <v>890</v>
      </c>
      <c r="B225" s="4">
        <v>44258</v>
      </c>
      <c r="C225" t="s">
        <v>55</v>
      </c>
      <c r="D225" t="s">
        <v>891</v>
      </c>
      <c r="E225" t="s">
        <v>892</v>
      </c>
      <c r="F225" t="s">
        <v>66</v>
      </c>
      <c r="G225" t="s">
        <v>39</v>
      </c>
      <c r="H225" t="s">
        <v>893</v>
      </c>
      <c r="I225" t="s">
        <v>894</v>
      </c>
      <c r="J225">
        <v>28314</v>
      </c>
      <c r="K225" t="s">
        <v>406</v>
      </c>
      <c r="L225" t="s">
        <v>899</v>
      </c>
      <c r="M225" t="s">
        <v>44</v>
      </c>
      <c r="N225" t="s">
        <v>152</v>
      </c>
      <c r="O225" t="s">
        <v>900</v>
      </c>
      <c r="P225">
        <v>24.448</v>
      </c>
      <c r="Q225">
        <v>4</v>
      </c>
      <c r="R225">
        <v>0.2</v>
      </c>
      <c r="S225">
        <v>8.8623999999999992</v>
      </c>
    </row>
    <row r="226" spans="1:19" x14ac:dyDescent="0.25">
      <c r="A226" t="s">
        <v>901</v>
      </c>
      <c r="B226" s="4">
        <v>44279</v>
      </c>
      <c r="C226" t="s">
        <v>35</v>
      </c>
      <c r="D226" t="s">
        <v>902</v>
      </c>
      <c r="E226" t="s">
        <v>903</v>
      </c>
      <c r="F226" t="s">
        <v>218</v>
      </c>
      <c r="G226" t="s">
        <v>39</v>
      </c>
      <c r="H226" t="s">
        <v>173</v>
      </c>
      <c r="I226" t="s">
        <v>83</v>
      </c>
      <c r="J226">
        <v>90049</v>
      </c>
      <c r="K226" t="s">
        <v>84</v>
      </c>
      <c r="L226" t="s">
        <v>904</v>
      </c>
      <c r="M226" t="s">
        <v>86</v>
      </c>
      <c r="N226" t="s">
        <v>149</v>
      </c>
      <c r="O226" t="s">
        <v>905</v>
      </c>
      <c r="P226">
        <v>2879.9520000000002</v>
      </c>
      <c r="Q226">
        <v>6</v>
      </c>
      <c r="R226">
        <v>0.2</v>
      </c>
      <c r="S226">
        <v>1007.9831999999999</v>
      </c>
    </row>
    <row r="227" spans="1:19" x14ac:dyDescent="0.25">
      <c r="A227" t="s">
        <v>901</v>
      </c>
      <c r="B227" s="4">
        <v>44279</v>
      </c>
      <c r="C227" t="s">
        <v>35</v>
      </c>
      <c r="D227" t="s">
        <v>902</v>
      </c>
      <c r="E227" t="s">
        <v>903</v>
      </c>
      <c r="F227" t="s">
        <v>218</v>
      </c>
      <c r="G227" t="s">
        <v>39</v>
      </c>
      <c r="H227" t="s">
        <v>173</v>
      </c>
      <c r="I227" t="s">
        <v>83</v>
      </c>
      <c r="J227">
        <v>90049</v>
      </c>
      <c r="K227" t="s">
        <v>84</v>
      </c>
      <c r="L227" t="s">
        <v>906</v>
      </c>
      <c r="M227" t="s">
        <v>44</v>
      </c>
      <c r="N227" t="s">
        <v>45</v>
      </c>
      <c r="O227" t="s">
        <v>907</v>
      </c>
      <c r="P227">
        <v>90.480000000000018</v>
      </c>
      <c r="Q227">
        <v>3</v>
      </c>
      <c r="R227">
        <v>0.2</v>
      </c>
      <c r="S227">
        <v>33.93</v>
      </c>
    </row>
    <row r="228" spans="1:19" x14ac:dyDescent="0.25">
      <c r="A228" t="s">
        <v>908</v>
      </c>
      <c r="B228" s="4">
        <v>44258</v>
      </c>
      <c r="C228" t="s">
        <v>73</v>
      </c>
      <c r="D228" t="s">
        <v>909</v>
      </c>
      <c r="E228" t="s">
        <v>910</v>
      </c>
      <c r="F228" t="s">
        <v>218</v>
      </c>
      <c r="G228" t="s">
        <v>39</v>
      </c>
      <c r="H228" t="s">
        <v>531</v>
      </c>
      <c r="I228" t="s">
        <v>532</v>
      </c>
      <c r="J228">
        <v>98115</v>
      </c>
      <c r="K228" t="s">
        <v>84</v>
      </c>
      <c r="L228" t="s">
        <v>911</v>
      </c>
      <c r="M228" t="s">
        <v>48</v>
      </c>
      <c r="N228" t="s">
        <v>155</v>
      </c>
      <c r="O228" t="s">
        <v>912</v>
      </c>
      <c r="P228">
        <v>521.96</v>
      </c>
      <c r="Q228">
        <v>2</v>
      </c>
      <c r="R228">
        <v>0</v>
      </c>
      <c r="S228">
        <v>88.733199999999954</v>
      </c>
    </row>
    <row r="229" spans="1:19" x14ac:dyDescent="0.25">
      <c r="A229" t="s">
        <v>913</v>
      </c>
      <c r="B229" s="4">
        <v>44270</v>
      </c>
      <c r="C229" t="s">
        <v>55</v>
      </c>
      <c r="D229" t="s">
        <v>914</v>
      </c>
      <c r="E229" t="s">
        <v>915</v>
      </c>
      <c r="F229" t="s">
        <v>38</v>
      </c>
      <c r="G229" t="s">
        <v>39</v>
      </c>
      <c r="H229" t="s">
        <v>916</v>
      </c>
      <c r="I229" t="s">
        <v>715</v>
      </c>
      <c r="J229">
        <v>60302</v>
      </c>
      <c r="K229" t="s">
        <v>42</v>
      </c>
      <c r="L229" t="s">
        <v>917</v>
      </c>
      <c r="M229" t="s">
        <v>44</v>
      </c>
      <c r="N229" t="s">
        <v>175</v>
      </c>
      <c r="O229" t="s">
        <v>918</v>
      </c>
      <c r="P229">
        <v>10.192000000000002</v>
      </c>
      <c r="Q229">
        <v>7</v>
      </c>
      <c r="R229">
        <v>0.2</v>
      </c>
      <c r="S229">
        <v>1.0192000000000001</v>
      </c>
    </row>
    <row r="230" spans="1:19" x14ac:dyDescent="0.25">
      <c r="A230" t="s">
        <v>919</v>
      </c>
      <c r="B230" s="4">
        <v>44272</v>
      </c>
      <c r="C230" t="s">
        <v>55</v>
      </c>
      <c r="D230" t="s">
        <v>116</v>
      </c>
      <c r="E230" t="s">
        <v>117</v>
      </c>
      <c r="F230" t="s">
        <v>38</v>
      </c>
      <c r="G230" t="s">
        <v>39</v>
      </c>
      <c r="H230" t="s">
        <v>920</v>
      </c>
      <c r="I230" t="s">
        <v>83</v>
      </c>
      <c r="J230">
        <v>92804</v>
      </c>
      <c r="K230" t="s">
        <v>84</v>
      </c>
      <c r="L230" t="s">
        <v>921</v>
      </c>
      <c r="M230" t="s">
        <v>44</v>
      </c>
      <c r="N230" t="s">
        <v>52</v>
      </c>
      <c r="O230" t="s">
        <v>922</v>
      </c>
      <c r="P230">
        <v>481.32</v>
      </c>
      <c r="Q230">
        <v>4</v>
      </c>
      <c r="R230">
        <v>0</v>
      </c>
      <c r="S230">
        <v>125.14319999999998</v>
      </c>
    </row>
    <row r="231" spans="1:19" x14ac:dyDescent="0.25">
      <c r="A231" t="s">
        <v>919</v>
      </c>
      <c r="B231" s="4">
        <v>44272</v>
      </c>
      <c r="C231" t="s">
        <v>55</v>
      </c>
      <c r="D231" t="s">
        <v>116</v>
      </c>
      <c r="E231" t="s">
        <v>117</v>
      </c>
      <c r="F231" t="s">
        <v>38</v>
      </c>
      <c r="G231" t="s">
        <v>39</v>
      </c>
      <c r="H231" t="s">
        <v>920</v>
      </c>
      <c r="I231" t="s">
        <v>83</v>
      </c>
      <c r="J231">
        <v>92804</v>
      </c>
      <c r="K231" t="s">
        <v>84</v>
      </c>
      <c r="L231" t="s">
        <v>923</v>
      </c>
      <c r="M231" t="s">
        <v>44</v>
      </c>
      <c r="N231" t="s">
        <v>435</v>
      </c>
      <c r="O231" t="s">
        <v>924</v>
      </c>
      <c r="P231">
        <v>13.98</v>
      </c>
      <c r="Q231">
        <v>1</v>
      </c>
      <c r="R231">
        <v>0</v>
      </c>
      <c r="S231">
        <v>3.6348000000000003</v>
      </c>
    </row>
    <row r="232" spans="1:19" x14ac:dyDescent="0.25">
      <c r="A232" t="s">
        <v>925</v>
      </c>
      <c r="B232" s="4">
        <v>44280</v>
      </c>
      <c r="C232" t="s">
        <v>73</v>
      </c>
      <c r="D232" t="s">
        <v>926</v>
      </c>
      <c r="E232" t="s">
        <v>927</v>
      </c>
      <c r="F232" t="s">
        <v>218</v>
      </c>
      <c r="G232" t="s">
        <v>39</v>
      </c>
      <c r="H232" t="s">
        <v>928</v>
      </c>
      <c r="I232" t="s">
        <v>929</v>
      </c>
      <c r="J232">
        <v>35810</v>
      </c>
      <c r="K232" t="s">
        <v>406</v>
      </c>
      <c r="L232" t="s">
        <v>930</v>
      </c>
      <c r="M232" t="s">
        <v>44</v>
      </c>
      <c r="N232" t="s">
        <v>152</v>
      </c>
      <c r="O232" t="s">
        <v>931</v>
      </c>
      <c r="P232">
        <v>96.08</v>
      </c>
      <c r="Q232">
        <v>2</v>
      </c>
      <c r="R232">
        <v>0</v>
      </c>
      <c r="S232">
        <v>46.118399999999994</v>
      </c>
    </row>
    <row r="233" spans="1:19" x14ac:dyDescent="0.25">
      <c r="A233" t="s">
        <v>925</v>
      </c>
      <c r="B233" s="4">
        <v>44280</v>
      </c>
      <c r="C233" t="s">
        <v>73</v>
      </c>
      <c r="D233" t="s">
        <v>926</v>
      </c>
      <c r="E233" t="s">
        <v>927</v>
      </c>
      <c r="F233" t="s">
        <v>218</v>
      </c>
      <c r="G233" t="s">
        <v>39</v>
      </c>
      <c r="H233" t="s">
        <v>928</v>
      </c>
      <c r="I233" t="s">
        <v>929</v>
      </c>
      <c r="J233">
        <v>35810</v>
      </c>
      <c r="K233" t="s">
        <v>406</v>
      </c>
      <c r="L233" t="s">
        <v>932</v>
      </c>
      <c r="M233" t="s">
        <v>44</v>
      </c>
      <c r="N233" t="s">
        <v>101</v>
      </c>
      <c r="O233" t="s">
        <v>933</v>
      </c>
      <c r="P233">
        <v>3.62</v>
      </c>
      <c r="Q233">
        <v>2</v>
      </c>
      <c r="R233">
        <v>0</v>
      </c>
      <c r="S233">
        <v>1.1945999999999999</v>
      </c>
    </row>
    <row r="234" spans="1:19" x14ac:dyDescent="0.25">
      <c r="A234" t="s">
        <v>925</v>
      </c>
      <c r="B234" s="4">
        <v>44280</v>
      </c>
      <c r="C234" t="s">
        <v>73</v>
      </c>
      <c r="D234" t="s">
        <v>926</v>
      </c>
      <c r="E234" t="s">
        <v>927</v>
      </c>
      <c r="F234" t="s">
        <v>218</v>
      </c>
      <c r="G234" t="s">
        <v>39</v>
      </c>
      <c r="H234" t="s">
        <v>928</v>
      </c>
      <c r="I234" t="s">
        <v>929</v>
      </c>
      <c r="J234">
        <v>35810</v>
      </c>
      <c r="K234" t="s">
        <v>406</v>
      </c>
      <c r="L234" t="s">
        <v>843</v>
      </c>
      <c r="M234" t="s">
        <v>44</v>
      </c>
      <c r="N234" t="s">
        <v>152</v>
      </c>
      <c r="O234" t="s">
        <v>844</v>
      </c>
      <c r="P234">
        <v>629.09999999999991</v>
      </c>
      <c r="Q234">
        <v>6</v>
      </c>
      <c r="R234">
        <v>0</v>
      </c>
      <c r="S234">
        <v>301.96799999999996</v>
      </c>
    </row>
    <row r="235" spans="1:19" x14ac:dyDescent="0.25">
      <c r="A235" t="s">
        <v>925</v>
      </c>
      <c r="B235" s="4">
        <v>44280</v>
      </c>
      <c r="C235" t="s">
        <v>73</v>
      </c>
      <c r="D235" t="s">
        <v>926</v>
      </c>
      <c r="E235" t="s">
        <v>927</v>
      </c>
      <c r="F235" t="s">
        <v>218</v>
      </c>
      <c r="G235" t="s">
        <v>39</v>
      </c>
      <c r="H235" t="s">
        <v>928</v>
      </c>
      <c r="I235" t="s">
        <v>929</v>
      </c>
      <c r="J235">
        <v>35810</v>
      </c>
      <c r="K235" t="s">
        <v>406</v>
      </c>
      <c r="L235" t="s">
        <v>934</v>
      </c>
      <c r="M235" t="s">
        <v>86</v>
      </c>
      <c r="N235" t="s">
        <v>87</v>
      </c>
      <c r="O235" t="s">
        <v>935</v>
      </c>
      <c r="P235">
        <v>90.48</v>
      </c>
      <c r="Q235">
        <v>2</v>
      </c>
      <c r="R235">
        <v>0</v>
      </c>
      <c r="S235">
        <v>23.524799999999999</v>
      </c>
    </row>
    <row r="236" spans="1:19" x14ac:dyDescent="0.25">
      <c r="A236" t="s">
        <v>936</v>
      </c>
      <c r="B236" s="4">
        <v>44256</v>
      </c>
      <c r="C236" t="s">
        <v>55</v>
      </c>
      <c r="D236" t="s">
        <v>937</v>
      </c>
      <c r="E236" t="s">
        <v>938</v>
      </c>
      <c r="F236" t="s">
        <v>218</v>
      </c>
      <c r="G236" t="s">
        <v>39</v>
      </c>
      <c r="H236" t="s">
        <v>315</v>
      </c>
      <c r="I236" t="s">
        <v>498</v>
      </c>
      <c r="J236">
        <v>6824</v>
      </c>
      <c r="K236" t="s">
        <v>60</v>
      </c>
      <c r="L236" t="s">
        <v>939</v>
      </c>
      <c r="M236" t="s">
        <v>44</v>
      </c>
      <c r="N236" t="s">
        <v>152</v>
      </c>
      <c r="O236" t="s">
        <v>940</v>
      </c>
      <c r="P236">
        <v>19.440000000000001</v>
      </c>
      <c r="Q236">
        <v>3</v>
      </c>
      <c r="R236">
        <v>0</v>
      </c>
      <c r="S236">
        <v>9.3312000000000008</v>
      </c>
    </row>
    <row r="237" spans="1:19" x14ac:dyDescent="0.25">
      <c r="A237" t="s">
        <v>936</v>
      </c>
      <c r="B237" s="4">
        <v>44256</v>
      </c>
      <c r="C237" t="s">
        <v>55</v>
      </c>
      <c r="D237" t="s">
        <v>937</v>
      </c>
      <c r="E237" t="s">
        <v>938</v>
      </c>
      <c r="F237" t="s">
        <v>218</v>
      </c>
      <c r="G237" t="s">
        <v>39</v>
      </c>
      <c r="H237" t="s">
        <v>315</v>
      </c>
      <c r="I237" t="s">
        <v>498</v>
      </c>
      <c r="J237">
        <v>6824</v>
      </c>
      <c r="K237" t="s">
        <v>60</v>
      </c>
      <c r="L237" t="s">
        <v>941</v>
      </c>
      <c r="M237" t="s">
        <v>48</v>
      </c>
      <c r="N237" t="s">
        <v>168</v>
      </c>
      <c r="O237" t="s">
        <v>942</v>
      </c>
      <c r="P237">
        <v>897.15000000000009</v>
      </c>
      <c r="Q237">
        <v>3</v>
      </c>
      <c r="R237">
        <v>0</v>
      </c>
      <c r="S237">
        <v>251.20200000000003</v>
      </c>
    </row>
    <row r="238" spans="1:19" x14ac:dyDescent="0.25">
      <c r="A238" t="s">
        <v>943</v>
      </c>
      <c r="B238" s="4">
        <v>44276</v>
      </c>
      <c r="C238" t="s">
        <v>55</v>
      </c>
      <c r="D238" t="s">
        <v>944</v>
      </c>
      <c r="E238" t="s">
        <v>945</v>
      </c>
      <c r="F238" t="s">
        <v>66</v>
      </c>
      <c r="G238" t="s">
        <v>39</v>
      </c>
      <c r="H238" t="s">
        <v>773</v>
      </c>
      <c r="I238" t="s">
        <v>220</v>
      </c>
      <c r="J238">
        <v>47905</v>
      </c>
      <c r="K238" t="s">
        <v>42</v>
      </c>
      <c r="L238" t="s">
        <v>946</v>
      </c>
      <c r="M238" t="s">
        <v>44</v>
      </c>
      <c r="N238" t="s">
        <v>52</v>
      </c>
      <c r="O238" t="s">
        <v>947</v>
      </c>
      <c r="P238">
        <v>375.34</v>
      </c>
      <c r="Q238">
        <v>1</v>
      </c>
      <c r="R238">
        <v>0</v>
      </c>
      <c r="S238">
        <v>18.766999999999996</v>
      </c>
    </row>
    <row r="239" spans="1:19" x14ac:dyDescent="0.25">
      <c r="A239" t="s">
        <v>948</v>
      </c>
      <c r="B239" s="4">
        <v>44263</v>
      </c>
      <c r="C239" t="s">
        <v>73</v>
      </c>
      <c r="D239" t="s">
        <v>949</v>
      </c>
      <c r="E239" t="s">
        <v>950</v>
      </c>
      <c r="F239" t="s">
        <v>38</v>
      </c>
      <c r="G239" t="s">
        <v>39</v>
      </c>
      <c r="H239" t="s">
        <v>128</v>
      </c>
      <c r="I239" t="s">
        <v>83</v>
      </c>
      <c r="J239">
        <v>94109</v>
      </c>
      <c r="K239" t="s">
        <v>84</v>
      </c>
      <c r="L239" t="s">
        <v>951</v>
      </c>
      <c r="M239" t="s">
        <v>44</v>
      </c>
      <c r="N239" t="s">
        <v>70</v>
      </c>
      <c r="O239" t="s">
        <v>952</v>
      </c>
      <c r="P239">
        <v>69.48</v>
      </c>
      <c r="Q239">
        <v>1</v>
      </c>
      <c r="R239">
        <v>0</v>
      </c>
      <c r="S239">
        <v>20.843999999999994</v>
      </c>
    </row>
    <row r="240" spans="1:19" x14ac:dyDescent="0.25">
      <c r="A240" t="s">
        <v>953</v>
      </c>
      <c r="B240" s="4">
        <v>44262</v>
      </c>
      <c r="C240" t="s">
        <v>55</v>
      </c>
      <c r="D240" t="s">
        <v>954</v>
      </c>
      <c r="E240" t="s">
        <v>955</v>
      </c>
      <c r="F240" t="s">
        <v>38</v>
      </c>
      <c r="G240" t="s">
        <v>39</v>
      </c>
      <c r="H240" t="s">
        <v>714</v>
      </c>
      <c r="I240" t="s">
        <v>715</v>
      </c>
      <c r="J240">
        <v>60653</v>
      </c>
      <c r="K240" t="s">
        <v>42</v>
      </c>
      <c r="L240" t="s">
        <v>956</v>
      </c>
      <c r="M240" t="s">
        <v>44</v>
      </c>
      <c r="N240" t="s">
        <v>45</v>
      </c>
      <c r="O240" t="s">
        <v>957</v>
      </c>
      <c r="P240">
        <v>1889.9899999999998</v>
      </c>
      <c r="Q240">
        <v>5</v>
      </c>
      <c r="R240">
        <v>0.8</v>
      </c>
      <c r="S240">
        <v>-2929.4845000000005</v>
      </c>
    </row>
    <row r="241" spans="1:19" x14ac:dyDescent="0.25">
      <c r="A241" t="s">
        <v>958</v>
      </c>
      <c r="B241" s="4">
        <v>44285</v>
      </c>
      <c r="C241" t="s">
        <v>55</v>
      </c>
      <c r="D241" t="s">
        <v>959</v>
      </c>
      <c r="E241" t="s">
        <v>960</v>
      </c>
      <c r="F241" t="s">
        <v>66</v>
      </c>
      <c r="G241" t="s">
        <v>39</v>
      </c>
      <c r="H241" t="s">
        <v>961</v>
      </c>
      <c r="I241" t="s">
        <v>199</v>
      </c>
      <c r="J241">
        <v>80538</v>
      </c>
      <c r="K241" t="s">
        <v>84</v>
      </c>
      <c r="L241" t="s">
        <v>962</v>
      </c>
      <c r="M241" t="s">
        <v>44</v>
      </c>
      <c r="N241" t="s">
        <v>101</v>
      </c>
      <c r="O241" t="s">
        <v>963</v>
      </c>
      <c r="P241">
        <v>3.024</v>
      </c>
      <c r="Q241">
        <v>3</v>
      </c>
      <c r="R241">
        <v>0.2</v>
      </c>
      <c r="S241">
        <v>-0.6048</v>
      </c>
    </row>
    <row r="242" spans="1:19" x14ac:dyDescent="0.25">
      <c r="A242" t="s">
        <v>964</v>
      </c>
      <c r="B242" s="4">
        <v>44284</v>
      </c>
      <c r="C242" t="s">
        <v>55</v>
      </c>
      <c r="D242" t="s">
        <v>273</v>
      </c>
      <c r="E242" t="s">
        <v>274</v>
      </c>
      <c r="F242" t="s">
        <v>38</v>
      </c>
      <c r="G242" t="s">
        <v>39</v>
      </c>
      <c r="H242" t="s">
        <v>920</v>
      </c>
      <c r="I242" t="s">
        <v>83</v>
      </c>
      <c r="J242">
        <v>92804</v>
      </c>
      <c r="K242" t="s">
        <v>84</v>
      </c>
      <c r="L242" t="s">
        <v>965</v>
      </c>
      <c r="M242" t="s">
        <v>48</v>
      </c>
      <c r="N242" t="s">
        <v>49</v>
      </c>
      <c r="O242" t="s">
        <v>966</v>
      </c>
      <c r="P242">
        <v>101.12</v>
      </c>
      <c r="Q242">
        <v>8</v>
      </c>
      <c r="R242">
        <v>0</v>
      </c>
      <c r="S242">
        <v>37.414400000000001</v>
      </c>
    </row>
    <row r="243" spans="1:19" x14ac:dyDescent="0.25">
      <c r="A243" t="s">
        <v>967</v>
      </c>
      <c r="B243" s="4">
        <v>44279</v>
      </c>
      <c r="C243" t="s">
        <v>55</v>
      </c>
      <c r="D243" t="s">
        <v>968</v>
      </c>
      <c r="E243" t="s">
        <v>969</v>
      </c>
      <c r="F243" t="s">
        <v>218</v>
      </c>
      <c r="G243" t="s">
        <v>39</v>
      </c>
      <c r="H243" t="s">
        <v>970</v>
      </c>
      <c r="I243" t="s">
        <v>971</v>
      </c>
      <c r="J243">
        <v>85224</v>
      </c>
      <c r="K243" t="s">
        <v>84</v>
      </c>
      <c r="L243" t="s">
        <v>972</v>
      </c>
      <c r="M243" t="s">
        <v>48</v>
      </c>
      <c r="N243" t="s">
        <v>49</v>
      </c>
      <c r="O243" t="s">
        <v>973</v>
      </c>
      <c r="P243">
        <v>8.5440000000000005</v>
      </c>
      <c r="Q243">
        <v>4</v>
      </c>
      <c r="R243">
        <v>0.2</v>
      </c>
      <c r="S243">
        <v>1.9223999999999997</v>
      </c>
    </row>
    <row r="244" spans="1:19" x14ac:dyDescent="0.25">
      <c r="A244" t="s">
        <v>967</v>
      </c>
      <c r="B244" s="4">
        <v>44279</v>
      </c>
      <c r="C244" t="s">
        <v>55</v>
      </c>
      <c r="D244" t="s">
        <v>968</v>
      </c>
      <c r="E244" t="s">
        <v>969</v>
      </c>
      <c r="F244" t="s">
        <v>218</v>
      </c>
      <c r="G244" t="s">
        <v>39</v>
      </c>
      <c r="H244" t="s">
        <v>970</v>
      </c>
      <c r="I244" t="s">
        <v>971</v>
      </c>
      <c r="J244">
        <v>85224</v>
      </c>
      <c r="K244" t="s">
        <v>84</v>
      </c>
      <c r="L244" t="s">
        <v>974</v>
      </c>
      <c r="M244" t="s">
        <v>48</v>
      </c>
      <c r="N244" t="s">
        <v>168</v>
      </c>
      <c r="O244" t="s">
        <v>975</v>
      </c>
      <c r="P244">
        <v>842.37600000000009</v>
      </c>
      <c r="Q244">
        <v>3</v>
      </c>
      <c r="R244">
        <v>0.2</v>
      </c>
      <c r="S244">
        <v>105.29699999999988</v>
      </c>
    </row>
    <row r="245" spans="1:19" x14ac:dyDescent="0.25">
      <c r="A245" t="s">
        <v>976</v>
      </c>
      <c r="B245" s="4">
        <v>44269</v>
      </c>
      <c r="C245" t="s">
        <v>55</v>
      </c>
      <c r="D245" t="s">
        <v>977</v>
      </c>
      <c r="E245" t="s">
        <v>978</v>
      </c>
      <c r="F245" t="s">
        <v>38</v>
      </c>
      <c r="G245" t="s">
        <v>39</v>
      </c>
      <c r="H245" t="s">
        <v>893</v>
      </c>
      <c r="I245" t="s">
        <v>979</v>
      </c>
      <c r="J245">
        <v>72701</v>
      </c>
      <c r="K245" t="s">
        <v>406</v>
      </c>
      <c r="L245" t="s">
        <v>980</v>
      </c>
      <c r="M245" t="s">
        <v>86</v>
      </c>
      <c r="N245" t="s">
        <v>109</v>
      </c>
      <c r="O245" t="s">
        <v>981</v>
      </c>
      <c r="P245">
        <v>159.80000000000001</v>
      </c>
      <c r="Q245">
        <v>4</v>
      </c>
      <c r="R245">
        <v>0</v>
      </c>
      <c r="S245">
        <v>70.312000000000012</v>
      </c>
    </row>
    <row r="246" spans="1:19" x14ac:dyDescent="0.25">
      <c r="A246" t="s">
        <v>976</v>
      </c>
      <c r="B246" s="4">
        <v>44269</v>
      </c>
      <c r="C246" t="s">
        <v>55</v>
      </c>
      <c r="D246" t="s">
        <v>977</v>
      </c>
      <c r="E246" t="s">
        <v>978</v>
      </c>
      <c r="F246" t="s">
        <v>38</v>
      </c>
      <c r="G246" t="s">
        <v>39</v>
      </c>
      <c r="H246" t="s">
        <v>893</v>
      </c>
      <c r="I246" t="s">
        <v>979</v>
      </c>
      <c r="J246">
        <v>72701</v>
      </c>
      <c r="K246" t="s">
        <v>406</v>
      </c>
      <c r="L246" t="s">
        <v>982</v>
      </c>
      <c r="M246" t="s">
        <v>86</v>
      </c>
      <c r="N246" t="s">
        <v>109</v>
      </c>
      <c r="O246" t="s">
        <v>983</v>
      </c>
      <c r="P246">
        <v>44.75</v>
      </c>
      <c r="Q246">
        <v>5</v>
      </c>
      <c r="R246">
        <v>0</v>
      </c>
      <c r="S246">
        <v>8.5024999999999942</v>
      </c>
    </row>
    <row r="247" spans="1:19" x14ac:dyDescent="0.25">
      <c r="A247" t="s">
        <v>984</v>
      </c>
      <c r="B247" s="4">
        <v>44264</v>
      </c>
      <c r="C247" t="s">
        <v>55</v>
      </c>
      <c r="D247" t="s">
        <v>985</v>
      </c>
      <c r="E247" t="s">
        <v>986</v>
      </c>
      <c r="F247" t="s">
        <v>66</v>
      </c>
      <c r="G247" t="s">
        <v>39</v>
      </c>
      <c r="H247" t="s">
        <v>987</v>
      </c>
      <c r="I247" t="s">
        <v>715</v>
      </c>
      <c r="J247">
        <v>60068</v>
      </c>
      <c r="K247" t="s">
        <v>42</v>
      </c>
      <c r="L247" t="s">
        <v>988</v>
      </c>
      <c r="M247" t="s">
        <v>44</v>
      </c>
      <c r="N247" t="s">
        <v>152</v>
      </c>
      <c r="O247" t="s">
        <v>989</v>
      </c>
      <c r="P247">
        <v>143.85600000000002</v>
      </c>
      <c r="Q247">
        <v>9</v>
      </c>
      <c r="R247">
        <v>0.2</v>
      </c>
      <c r="S247">
        <v>48.551399999999994</v>
      </c>
    </row>
    <row r="248" spans="1:19" x14ac:dyDescent="0.25">
      <c r="A248" t="s">
        <v>990</v>
      </c>
      <c r="B248" s="4">
        <v>44263</v>
      </c>
      <c r="C248" t="s">
        <v>55</v>
      </c>
      <c r="D248" t="s">
        <v>991</v>
      </c>
      <c r="E248" t="s">
        <v>992</v>
      </c>
      <c r="F248" t="s">
        <v>38</v>
      </c>
      <c r="G248" t="s">
        <v>39</v>
      </c>
      <c r="H248" t="s">
        <v>128</v>
      </c>
      <c r="I248" t="s">
        <v>83</v>
      </c>
      <c r="J248">
        <v>94109</v>
      </c>
      <c r="K248" t="s">
        <v>84</v>
      </c>
      <c r="L248" t="s">
        <v>993</v>
      </c>
      <c r="M248" t="s">
        <v>44</v>
      </c>
      <c r="N248" t="s">
        <v>152</v>
      </c>
      <c r="O248" t="s">
        <v>994</v>
      </c>
      <c r="P248">
        <v>87.92</v>
      </c>
      <c r="Q248">
        <v>4</v>
      </c>
      <c r="R248">
        <v>0</v>
      </c>
      <c r="S248">
        <v>40.443199999999997</v>
      </c>
    </row>
    <row r="249" spans="1:19" x14ac:dyDescent="0.25">
      <c r="A249" t="s">
        <v>990</v>
      </c>
      <c r="B249" s="4">
        <v>44263</v>
      </c>
      <c r="C249" t="s">
        <v>55</v>
      </c>
      <c r="D249" t="s">
        <v>991</v>
      </c>
      <c r="E249" t="s">
        <v>992</v>
      </c>
      <c r="F249" t="s">
        <v>38</v>
      </c>
      <c r="G249" t="s">
        <v>39</v>
      </c>
      <c r="H249" t="s">
        <v>128</v>
      </c>
      <c r="I249" t="s">
        <v>83</v>
      </c>
      <c r="J249">
        <v>94109</v>
      </c>
      <c r="K249" t="s">
        <v>84</v>
      </c>
      <c r="L249" t="s">
        <v>995</v>
      </c>
      <c r="M249" t="s">
        <v>44</v>
      </c>
      <c r="N249" t="s">
        <v>45</v>
      </c>
      <c r="O249" t="s">
        <v>996</v>
      </c>
      <c r="P249">
        <v>22.424000000000003</v>
      </c>
      <c r="Q249">
        <v>1</v>
      </c>
      <c r="R249">
        <v>0.2</v>
      </c>
      <c r="S249">
        <v>8.4089999999999989</v>
      </c>
    </row>
    <row r="250" spans="1:19" x14ac:dyDescent="0.25">
      <c r="A250" t="s">
        <v>990</v>
      </c>
      <c r="B250" s="4">
        <v>44263</v>
      </c>
      <c r="C250" t="s">
        <v>55</v>
      </c>
      <c r="D250" t="s">
        <v>991</v>
      </c>
      <c r="E250" t="s">
        <v>992</v>
      </c>
      <c r="F250" t="s">
        <v>38</v>
      </c>
      <c r="G250" t="s">
        <v>39</v>
      </c>
      <c r="H250" t="s">
        <v>128</v>
      </c>
      <c r="I250" t="s">
        <v>83</v>
      </c>
      <c r="J250">
        <v>94109</v>
      </c>
      <c r="K250" t="s">
        <v>84</v>
      </c>
      <c r="L250" t="s">
        <v>906</v>
      </c>
      <c r="M250" t="s">
        <v>44</v>
      </c>
      <c r="N250" t="s">
        <v>45</v>
      </c>
      <c r="O250" t="s">
        <v>907</v>
      </c>
      <c r="P250">
        <v>90.480000000000018</v>
      </c>
      <c r="Q250">
        <v>3</v>
      </c>
      <c r="R250">
        <v>0.2</v>
      </c>
      <c r="S250">
        <v>33.93</v>
      </c>
    </row>
    <row r="251" spans="1:19" x14ac:dyDescent="0.25">
      <c r="A251" t="s">
        <v>990</v>
      </c>
      <c r="B251" s="4">
        <v>44263</v>
      </c>
      <c r="C251" t="s">
        <v>55</v>
      </c>
      <c r="D251" t="s">
        <v>991</v>
      </c>
      <c r="E251" t="s">
        <v>992</v>
      </c>
      <c r="F251" t="s">
        <v>38</v>
      </c>
      <c r="G251" t="s">
        <v>39</v>
      </c>
      <c r="H251" t="s">
        <v>128</v>
      </c>
      <c r="I251" t="s">
        <v>83</v>
      </c>
      <c r="J251">
        <v>94109</v>
      </c>
      <c r="K251" t="s">
        <v>84</v>
      </c>
      <c r="L251" t="s">
        <v>997</v>
      </c>
      <c r="M251" t="s">
        <v>44</v>
      </c>
      <c r="N251" t="s">
        <v>52</v>
      </c>
      <c r="O251" t="s">
        <v>998</v>
      </c>
      <c r="P251">
        <v>42.76</v>
      </c>
      <c r="Q251">
        <v>1</v>
      </c>
      <c r="R251">
        <v>0</v>
      </c>
      <c r="S251">
        <v>11.117599999999999</v>
      </c>
    </row>
    <row r="252" spans="1:19" x14ac:dyDescent="0.25">
      <c r="A252" t="s">
        <v>999</v>
      </c>
      <c r="B252" s="4">
        <v>44284</v>
      </c>
      <c r="C252" t="s">
        <v>55</v>
      </c>
      <c r="D252" t="s">
        <v>1000</v>
      </c>
      <c r="E252" t="s">
        <v>1001</v>
      </c>
      <c r="F252" t="s">
        <v>66</v>
      </c>
      <c r="G252" t="s">
        <v>39</v>
      </c>
      <c r="H252" t="s">
        <v>1002</v>
      </c>
      <c r="I252" t="s">
        <v>532</v>
      </c>
      <c r="J252">
        <v>98026</v>
      </c>
      <c r="K252" t="s">
        <v>84</v>
      </c>
      <c r="L252" t="s">
        <v>1003</v>
      </c>
      <c r="M252" t="s">
        <v>44</v>
      </c>
      <c r="N252" t="s">
        <v>101</v>
      </c>
      <c r="O252" t="s">
        <v>1004</v>
      </c>
      <c r="P252">
        <v>19.600000000000001</v>
      </c>
      <c r="Q252">
        <v>5</v>
      </c>
      <c r="R252">
        <v>0</v>
      </c>
      <c r="S252">
        <v>9.6039999999999992</v>
      </c>
    </row>
    <row r="253" spans="1:19" x14ac:dyDescent="0.25">
      <c r="A253" t="s">
        <v>999</v>
      </c>
      <c r="B253" s="4">
        <v>44284</v>
      </c>
      <c r="C253" t="s">
        <v>55</v>
      </c>
      <c r="D253" t="s">
        <v>1000</v>
      </c>
      <c r="E253" t="s">
        <v>1001</v>
      </c>
      <c r="F253" t="s">
        <v>66</v>
      </c>
      <c r="G253" t="s">
        <v>39</v>
      </c>
      <c r="H253" t="s">
        <v>1002</v>
      </c>
      <c r="I253" t="s">
        <v>532</v>
      </c>
      <c r="J253">
        <v>98026</v>
      </c>
      <c r="K253" t="s">
        <v>84</v>
      </c>
      <c r="L253" t="s">
        <v>1005</v>
      </c>
      <c r="M253" t="s">
        <v>48</v>
      </c>
      <c r="N253" t="s">
        <v>49</v>
      </c>
      <c r="O253" t="s">
        <v>1006</v>
      </c>
      <c r="P253">
        <v>68.459999999999994</v>
      </c>
      <c r="Q253">
        <v>2</v>
      </c>
      <c r="R253">
        <v>0</v>
      </c>
      <c r="S253">
        <v>20.537999999999997</v>
      </c>
    </row>
    <row r="254" spans="1:19" x14ac:dyDescent="0.25">
      <c r="A254" t="s">
        <v>1007</v>
      </c>
      <c r="B254" s="4">
        <v>44274</v>
      </c>
      <c r="C254" t="s">
        <v>55</v>
      </c>
      <c r="D254" t="s">
        <v>1008</v>
      </c>
      <c r="E254" t="s">
        <v>1009</v>
      </c>
      <c r="F254" t="s">
        <v>66</v>
      </c>
      <c r="G254" t="s">
        <v>39</v>
      </c>
      <c r="H254" t="s">
        <v>1010</v>
      </c>
      <c r="I254" t="s">
        <v>199</v>
      </c>
      <c r="J254">
        <v>80134</v>
      </c>
      <c r="K254" t="s">
        <v>84</v>
      </c>
      <c r="L254" t="s">
        <v>1011</v>
      </c>
      <c r="M254" t="s">
        <v>48</v>
      </c>
      <c r="N254" t="s">
        <v>49</v>
      </c>
      <c r="O254" t="s">
        <v>1012</v>
      </c>
      <c r="P254">
        <v>13.360000000000001</v>
      </c>
      <c r="Q254">
        <v>5</v>
      </c>
      <c r="R254">
        <v>0.2</v>
      </c>
      <c r="S254">
        <v>4.0080000000000009</v>
      </c>
    </row>
    <row r="255" spans="1:19" x14ac:dyDescent="0.25">
      <c r="A255" t="s">
        <v>1007</v>
      </c>
      <c r="B255" s="4">
        <v>44274</v>
      </c>
      <c r="C255" t="s">
        <v>55</v>
      </c>
      <c r="D255" t="s">
        <v>1008</v>
      </c>
      <c r="E255" t="s">
        <v>1009</v>
      </c>
      <c r="F255" t="s">
        <v>66</v>
      </c>
      <c r="G255" t="s">
        <v>39</v>
      </c>
      <c r="H255" t="s">
        <v>1010</v>
      </c>
      <c r="I255" t="s">
        <v>199</v>
      </c>
      <c r="J255">
        <v>80134</v>
      </c>
      <c r="K255" t="s">
        <v>84</v>
      </c>
      <c r="L255" t="s">
        <v>1013</v>
      </c>
      <c r="M255" t="s">
        <v>44</v>
      </c>
      <c r="N255" t="s">
        <v>52</v>
      </c>
      <c r="O255" t="s">
        <v>1014</v>
      </c>
      <c r="P255">
        <v>78.256</v>
      </c>
      <c r="Q255">
        <v>2</v>
      </c>
      <c r="R255">
        <v>0.2</v>
      </c>
      <c r="S255">
        <v>-17.607599999999998</v>
      </c>
    </row>
    <row r="256" spans="1:19" x14ac:dyDescent="0.25">
      <c r="A256" t="s">
        <v>1007</v>
      </c>
      <c r="B256" s="4">
        <v>44274</v>
      </c>
      <c r="C256" t="s">
        <v>55</v>
      </c>
      <c r="D256" t="s">
        <v>1008</v>
      </c>
      <c r="E256" t="s">
        <v>1009</v>
      </c>
      <c r="F256" t="s">
        <v>66</v>
      </c>
      <c r="G256" t="s">
        <v>39</v>
      </c>
      <c r="H256" t="s">
        <v>1010</v>
      </c>
      <c r="I256" t="s">
        <v>199</v>
      </c>
      <c r="J256">
        <v>80134</v>
      </c>
      <c r="K256" t="s">
        <v>84</v>
      </c>
      <c r="L256" t="s">
        <v>1015</v>
      </c>
      <c r="M256" t="s">
        <v>48</v>
      </c>
      <c r="N256" t="s">
        <v>165</v>
      </c>
      <c r="O256" t="s">
        <v>1016</v>
      </c>
      <c r="P256">
        <v>102.01800000000001</v>
      </c>
      <c r="Q256">
        <v>7</v>
      </c>
      <c r="R256">
        <v>0.7</v>
      </c>
      <c r="S256">
        <v>-183.6323999999999</v>
      </c>
    </row>
    <row r="257" spans="1:19" x14ac:dyDescent="0.25">
      <c r="A257" t="s">
        <v>1017</v>
      </c>
      <c r="B257" s="4">
        <v>44281</v>
      </c>
      <c r="C257" t="s">
        <v>238</v>
      </c>
      <c r="D257" t="s">
        <v>1018</v>
      </c>
      <c r="E257" t="s">
        <v>1019</v>
      </c>
      <c r="F257" t="s">
        <v>38</v>
      </c>
      <c r="G257" t="s">
        <v>39</v>
      </c>
      <c r="H257" t="s">
        <v>830</v>
      </c>
      <c r="I257" t="s">
        <v>351</v>
      </c>
      <c r="J257">
        <v>68025</v>
      </c>
      <c r="K257" t="s">
        <v>42</v>
      </c>
      <c r="L257" t="s">
        <v>946</v>
      </c>
      <c r="M257" t="s">
        <v>44</v>
      </c>
      <c r="N257" t="s">
        <v>52</v>
      </c>
      <c r="O257" t="s">
        <v>947</v>
      </c>
      <c r="P257">
        <v>750.68</v>
      </c>
      <c r="Q257">
        <v>2</v>
      </c>
      <c r="R257">
        <v>0</v>
      </c>
      <c r="S257">
        <v>37.533999999999992</v>
      </c>
    </row>
    <row r="258" spans="1:19" x14ac:dyDescent="0.25">
      <c r="A258" t="s">
        <v>1020</v>
      </c>
      <c r="B258" s="4">
        <v>44259</v>
      </c>
      <c r="C258" t="s">
        <v>55</v>
      </c>
      <c r="D258" t="s">
        <v>1021</v>
      </c>
      <c r="E258" t="s">
        <v>1022</v>
      </c>
      <c r="F258" t="s">
        <v>38</v>
      </c>
      <c r="G258" t="s">
        <v>39</v>
      </c>
      <c r="H258" t="s">
        <v>323</v>
      </c>
      <c r="I258" t="s">
        <v>324</v>
      </c>
      <c r="J258">
        <v>19134</v>
      </c>
      <c r="K258" t="s">
        <v>60</v>
      </c>
      <c r="L258" t="s">
        <v>1023</v>
      </c>
      <c r="M258" t="s">
        <v>48</v>
      </c>
      <c r="N258" t="s">
        <v>168</v>
      </c>
      <c r="O258" t="s">
        <v>1024</v>
      </c>
      <c r="P258">
        <v>239.95999999999998</v>
      </c>
      <c r="Q258">
        <v>10</v>
      </c>
      <c r="R258">
        <v>0.3</v>
      </c>
      <c r="S258">
        <v>-10.283999999999992</v>
      </c>
    </row>
    <row r="259" spans="1:19" x14ac:dyDescent="0.25">
      <c r="A259" t="s">
        <v>1020</v>
      </c>
      <c r="B259" s="4">
        <v>44259</v>
      </c>
      <c r="C259" t="s">
        <v>55</v>
      </c>
      <c r="D259" t="s">
        <v>1021</v>
      </c>
      <c r="E259" t="s">
        <v>1022</v>
      </c>
      <c r="F259" t="s">
        <v>38</v>
      </c>
      <c r="G259" t="s">
        <v>39</v>
      </c>
      <c r="H259" t="s">
        <v>323</v>
      </c>
      <c r="I259" t="s">
        <v>324</v>
      </c>
      <c r="J259">
        <v>19134</v>
      </c>
      <c r="K259" t="s">
        <v>60</v>
      </c>
      <c r="L259" t="s">
        <v>1005</v>
      </c>
      <c r="M259" t="s">
        <v>48</v>
      </c>
      <c r="N259" t="s">
        <v>49</v>
      </c>
      <c r="O259" t="s">
        <v>1006</v>
      </c>
      <c r="P259">
        <v>54.768000000000001</v>
      </c>
      <c r="Q259">
        <v>2</v>
      </c>
      <c r="R259">
        <v>0.2</v>
      </c>
      <c r="S259">
        <v>6.8459999999999965</v>
      </c>
    </row>
    <row r="260" spans="1:19" x14ac:dyDescent="0.25">
      <c r="A260" t="s">
        <v>1020</v>
      </c>
      <c r="B260" s="4">
        <v>44259</v>
      </c>
      <c r="C260" t="s">
        <v>55</v>
      </c>
      <c r="D260" t="s">
        <v>1021</v>
      </c>
      <c r="E260" t="s">
        <v>1022</v>
      </c>
      <c r="F260" t="s">
        <v>38</v>
      </c>
      <c r="G260" t="s">
        <v>39</v>
      </c>
      <c r="H260" t="s">
        <v>323</v>
      </c>
      <c r="I260" t="s">
        <v>324</v>
      </c>
      <c r="J260">
        <v>19134</v>
      </c>
      <c r="K260" t="s">
        <v>60</v>
      </c>
      <c r="L260" t="s">
        <v>1025</v>
      </c>
      <c r="M260" t="s">
        <v>44</v>
      </c>
      <c r="N260" t="s">
        <v>175</v>
      </c>
      <c r="O260" t="s">
        <v>1026</v>
      </c>
      <c r="P260">
        <v>13.392000000000001</v>
      </c>
      <c r="Q260">
        <v>3</v>
      </c>
      <c r="R260">
        <v>0.2</v>
      </c>
      <c r="S260">
        <v>3.1806000000000005</v>
      </c>
    </row>
    <row r="261" spans="1:19" x14ac:dyDescent="0.25">
      <c r="A261" t="s">
        <v>1020</v>
      </c>
      <c r="B261" s="4">
        <v>44259</v>
      </c>
      <c r="C261" t="s">
        <v>55</v>
      </c>
      <c r="D261" t="s">
        <v>1021</v>
      </c>
      <c r="E261" t="s">
        <v>1022</v>
      </c>
      <c r="F261" t="s">
        <v>38</v>
      </c>
      <c r="G261" t="s">
        <v>39</v>
      </c>
      <c r="H261" t="s">
        <v>323</v>
      </c>
      <c r="I261" t="s">
        <v>324</v>
      </c>
      <c r="J261">
        <v>19134</v>
      </c>
      <c r="K261" t="s">
        <v>60</v>
      </c>
      <c r="L261" t="s">
        <v>1027</v>
      </c>
      <c r="M261" t="s">
        <v>44</v>
      </c>
      <c r="N261" t="s">
        <v>152</v>
      </c>
      <c r="O261" t="s">
        <v>1028</v>
      </c>
      <c r="P261">
        <v>23.92</v>
      </c>
      <c r="Q261">
        <v>5</v>
      </c>
      <c r="R261">
        <v>0.2</v>
      </c>
      <c r="S261">
        <v>8.6709999999999994</v>
      </c>
    </row>
    <row r="262" spans="1:19" x14ac:dyDescent="0.25">
      <c r="A262" t="s">
        <v>1020</v>
      </c>
      <c r="B262" s="4">
        <v>44259</v>
      </c>
      <c r="C262" t="s">
        <v>55</v>
      </c>
      <c r="D262" t="s">
        <v>1021</v>
      </c>
      <c r="E262" t="s">
        <v>1022</v>
      </c>
      <c r="F262" t="s">
        <v>38</v>
      </c>
      <c r="G262" t="s">
        <v>39</v>
      </c>
      <c r="H262" t="s">
        <v>323</v>
      </c>
      <c r="I262" t="s">
        <v>324</v>
      </c>
      <c r="J262">
        <v>19134</v>
      </c>
      <c r="K262" t="s">
        <v>60</v>
      </c>
      <c r="L262" t="s">
        <v>1029</v>
      </c>
      <c r="M262" t="s">
        <v>86</v>
      </c>
      <c r="N262" t="s">
        <v>109</v>
      </c>
      <c r="O262" t="s">
        <v>1030</v>
      </c>
      <c r="P262">
        <v>255.96799999999999</v>
      </c>
      <c r="Q262">
        <v>4</v>
      </c>
      <c r="R262">
        <v>0.2</v>
      </c>
      <c r="S262">
        <v>-28.796399999999984</v>
      </c>
    </row>
    <row r="263" spans="1:19" x14ac:dyDescent="0.25">
      <c r="A263" t="s">
        <v>1031</v>
      </c>
      <c r="B263" s="4">
        <v>44257</v>
      </c>
      <c r="C263" t="s">
        <v>55</v>
      </c>
      <c r="D263" t="s">
        <v>1032</v>
      </c>
      <c r="E263" t="s">
        <v>1033</v>
      </c>
      <c r="F263" t="s">
        <v>66</v>
      </c>
      <c r="G263" t="s">
        <v>39</v>
      </c>
      <c r="H263" t="s">
        <v>350</v>
      </c>
      <c r="I263" t="s">
        <v>351</v>
      </c>
      <c r="J263">
        <v>68104</v>
      </c>
      <c r="K263" t="s">
        <v>42</v>
      </c>
      <c r="L263" t="s">
        <v>1034</v>
      </c>
      <c r="M263" t="s">
        <v>86</v>
      </c>
      <c r="N263" t="s">
        <v>87</v>
      </c>
      <c r="O263" t="s">
        <v>1035</v>
      </c>
      <c r="P263">
        <v>2479.96</v>
      </c>
      <c r="Q263">
        <v>4</v>
      </c>
      <c r="R263">
        <v>0</v>
      </c>
      <c r="S263">
        <v>743.98799999999983</v>
      </c>
    </row>
    <row r="264" spans="1:19" x14ac:dyDescent="0.25">
      <c r="A264" t="s">
        <v>1036</v>
      </c>
      <c r="B264" s="4">
        <v>44263</v>
      </c>
      <c r="C264" t="s">
        <v>55</v>
      </c>
      <c r="D264" t="s">
        <v>402</v>
      </c>
      <c r="E264" t="s">
        <v>403</v>
      </c>
      <c r="F264" t="s">
        <v>66</v>
      </c>
      <c r="G264" t="s">
        <v>39</v>
      </c>
      <c r="H264" t="s">
        <v>1037</v>
      </c>
      <c r="I264" t="s">
        <v>1038</v>
      </c>
      <c r="J264">
        <v>53711</v>
      </c>
      <c r="K264" t="s">
        <v>42</v>
      </c>
      <c r="L264" t="s">
        <v>1039</v>
      </c>
      <c r="M264" t="s">
        <v>86</v>
      </c>
      <c r="N264" t="s">
        <v>109</v>
      </c>
      <c r="O264" t="s">
        <v>1040</v>
      </c>
      <c r="P264">
        <v>178.10999999999999</v>
      </c>
      <c r="Q264">
        <v>3</v>
      </c>
      <c r="R264">
        <v>0</v>
      </c>
      <c r="S264">
        <v>32.059799999999996</v>
      </c>
    </row>
    <row r="265" spans="1:19" x14ac:dyDescent="0.25">
      <c r="A265" t="s">
        <v>1036</v>
      </c>
      <c r="B265" s="4">
        <v>44263</v>
      </c>
      <c r="C265" t="s">
        <v>55</v>
      </c>
      <c r="D265" t="s">
        <v>402</v>
      </c>
      <c r="E265" t="s">
        <v>403</v>
      </c>
      <c r="F265" t="s">
        <v>66</v>
      </c>
      <c r="G265" t="s">
        <v>39</v>
      </c>
      <c r="H265" t="s">
        <v>1037</v>
      </c>
      <c r="I265" t="s">
        <v>1038</v>
      </c>
      <c r="J265">
        <v>53711</v>
      </c>
      <c r="K265" t="s">
        <v>42</v>
      </c>
      <c r="L265" t="s">
        <v>1041</v>
      </c>
      <c r="M265" t="s">
        <v>44</v>
      </c>
      <c r="N265" t="s">
        <v>70</v>
      </c>
      <c r="O265" t="s">
        <v>1042</v>
      </c>
      <c r="P265">
        <v>1089.75</v>
      </c>
      <c r="Q265">
        <v>3</v>
      </c>
      <c r="R265">
        <v>0</v>
      </c>
      <c r="S265">
        <v>305.13000000000011</v>
      </c>
    </row>
    <row r="266" spans="1:19" x14ac:dyDescent="0.25">
      <c r="A266" t="s">
        <v>1036</v>
      </c>
      <c r="B266" s="4">
        <v>44263</v>
      </c>
      <c r="C266" t="s">
        <v>55</v>
      </c>
      <c r="D266" t="s">
        <v>402</v>
      </c>
      <c r="E266" t="s">
        <v>403</v>
      </c>
      <c r="F266" t="s">
        <v>66</v>
      </c>
      <c r="G266" t="s">
        <v>39</v>
      </c>
      <c r="H266" t="s">
        <v>1037</v>
      </c>
      <c r="I266" t="s">
        <v>1038</v>
      </c>
      <c r="J266">
        <v>53711</v>
      </c>
      <c r="K266" t="s">
        <v>42</v>
      </c>
      <c r="L266" t="s">
        <v>1043</v>
      </c>
      <c r="M266" t="s">
        <v>44</v>
      </c>
      <c r="N266" t="s">
        <v>160</v>
      </c>
      <c r="O266" t="s">
        <v>1044</v>
      </c>
      <c r="P266">
        <v>61.06</v>
      </c>
      <c r="Q266">
        <v>2</v>
      </c>
      <c r="R266">
        <v>0</v>
      </c>
      <c r="S266">
        <v>28.087600000000002</v>
      </c>
    </row>
    <row r="267" spans="1:19" x14ac:dyDescent="0.25">
      <c r="A267" t="s">
        <v>1036</v>
      </c>
      <c r="B267" s="4">
        <v>44263</v>
      </c>
      <c r="C267" t="s">
        <v>55</v>
      </c>
      <c r="D267" t="s">
        <v>402</v>
      </c>
      <c r="E267" t="s">
        <v>403</v>
      </c>
      <c r="F267" t="s">
        <v>66</v>
      </c>
      <c r="G267" t="s">
        <v>39</v>
      </c>
      <c r="H267" t="s">
        <v>1037</v>
      </c>
      <c r="I267" t="s">
        <v>1038</v>
      </c>
      <c r="J267">
        <v>53711</v>
      </c>
      <c r="K267" t="s">
        <v>42</v>
      </c>
      <c r="L267" t="s">
        <v>1045</v>
      </c>
      <c r="M267" t="s">
        <v>48</v>
      </c>
      <c r="N267" t="s">
        <v>165</v>
      </c>
      <c r="O267" t="s">
        <v>1046</v>
      </c>
      <c r="P267">
        <v>459.92</v>
      </c>
      <c r="Q267">
        <v>4</v>
      </c>
      <c r="R267">
        <v>0</v>
      </c>
      <c r="S267">
        <v>41.392799999999966</v>
      </c>
    </row>
    <row r="268" spans="1:19" x14ac:dyDescent="0.25">
      <c r="A268" t="s">
        <v>1036</v>
      </c>
      <c r="B268" s="4">
        <v>44263</v>
      </c>
      <c r="C268" t="s">
        <v>55</v>
      </c>
      <c r="D268" t="s">
        <v>402</v>
      </c>
      <c r="E268" t="s">
        <v>403</v>
      </c>
      <c r="F268" t="s">
        <v>66</v>
      </c>
      <c r="G268" t="s">
        <v>39</v>
      </c>
      <c r="H268" t="s">
        <v>1037</v>
      </c>
      <c r="I268" t="s">
        <v>1038</v>
      </c>
      <c r="J268">
        <v>53711</v>
      </c>
      <c r="K268" t="s">
        <v>42</v>
      </c>
      <c r="L268" t="s">
        <v>1047</v>
      </c>
      <c r="M268" t="s">
        <v>44</v>
      </c>
      <c r="N268" t="s">
        <v>152</v>
      </c>
      <c r="O268" t="s">
        <v>1048</v>
      </c>
      <c r="P268">
        <v>27.52</v>
      </c>
      <c r="Q268">
        <v>4</v>
      </c>
      <c r="R268">
        <v>0</v>
      </c>
      <c r="S268">
        <v>12.659199999999998</v>
      </c>
    </row>
    <row r="269" spans="1:19" x14ac:dyDescent="0.25">
      <c r="A269" t="s">
        <v>1049</v>
      </c>
      <c r="B269" s="4">
        <v>44266</v>
      </c>
      <c r="C269" t="s">
        <v>55</v>
      </c>
      <c r="D269" t="s">
        <v>1050</v>
      </c>
      <c r="E269" t="s">
        <v>1051</v>
      </c>
      <c r="F269" t="s">
        <v>38</v>
      </c>
      <c r="G269" t="s">
        <v>39</v>
      </c>
      <c r="H269" t="s">
        <v>1052</v>
      </c>
      <c r="I269" t="s">
        <v>1053</v>
      </c>
      <c r="J269">
        <v>2740</v>
      </c>
      <c r="K269" t="s">
        <v>60</v>
      </c>
      <c r="L269" t="s">
        <v>1054</v>
      </c>
      <c r="M269" t="s">
        <v>86</v>
      </c>
      <c r="N269" t="s">
        <v>87</v>
      </c>
      <c r="O269" t="s">
        <v>1055</v>
      </c>
      <c r="P269">
        <v>128.85000000000002</v>
      </c>
      <c r="Q269">
        <v>3</v>
      </c>
      <c r="R269">
        <v>0</v>
      </c>
      <c r="S269">
        <v>3.8654999999999973</v>
      </c>
    </row>
    <row r="270" spans="1:19" x14ac:dyDescent="0.25">
      <c r="A270" t="s">
        <v>1056</v>
      </c>
      <c r="B270" s="4">
        <v>44280</v>
      </c>
      <c r="C270" t="s">
        <v>55</v>
      </c>
      <c r="D270" t="s">
        <v>1057</v>
      </c>
      <c r="E270" t="s">
        <v>1058</v>
      </c>
      <c r="F270" t="s">
        <v>38</v>
      </c>
      <c r="G270" t="s">
        <v>39</v>
      </c>
      <c r="H270" t="s">
        <v>173</v>
      </c>
      <c r="I270" t="s">
        <v>83</v>
      </c>
      <c r="J270">
        <v>90008</v>
      </c>
      <c r="K270" t="s">
        <v>84</v>
      </c>
      <c r="L270" t="s">
        <v>1059</v>
      </c>
      <c r="M270" t="s">
        <v>44</v>
      </c>
      <c r="N270" t="s">
        <v>45</v>
      </c>
      <c r="O270" t="s">
        <v>1060</v>
      </c>
      <c r="P270">
        <v>153.55199999999999</v>
      </c>
      <c r="Q270">
        <v>3</v>
      </c>
      <c r="R270">
        <v>0.2</v>
      </c>
      <c r="S270">
        <v>51.823799999999999</v>
      </c>
    </row>
    <row r="271" spans="1:19" x14ac:dyDescent="0.25">
      <c r="A271" t="s">
        <v>1056</v>
      </c>
      <c r="B271" s="4">
        <v>44280</v>
      </c>
      <c r="C271" t="s">
        <v>55</v>
      </c>
      <c r="D271" t="s">
        <v>1057</v>
      </c>
      <c r="E271" t="s">
        <v>1058</v>
      </c>
      <c r="F271" t="s">
        <v>38</v>
      </c>
      <c r="G271" t="s">
        <v>39</v>
      </c>
      <c r="H271" t="s">
        <v>173</v>
      </c>
      <c r="I271" t="s">
        <v>83</v>
      </c>
      <c r="J271">
        <v>90008</v>
      </c>
      <c r="K271" t="s">
        <v>84</v>
      </c>
      <c r="L271" t="s">
        <v>1061</v>
      </c>
      <c r="M271" t="s">
        <v>44</v>
      </c>
      <c r="N271" t="s">
        <v>52</v>
      </c>
      <c r="O271" t="s">
        <v>1062</v>
      </c>
      <c r="P271">
        <v>270.62</v>
      </c>
      <c r="Q271">
        <v>2</v>
      </c>
      <c r="R271">
        <v>0</v>
      </c>
      <c r="S271">
        <v>2.7062000000000239</v>
      </c>
    </row>
    <row r="272" spans="1:19" x14ac:dyDescent="0.25">
      <c r="A272" t="s">
        <v>1063</v>
      </c>
      <c r="B272" s="4">
        <v>44283</v>
      </c>
      <c r="C272" t="s">
        <v>73</v>
      </c>
      <c r="D272" t="s">
        <v>1064</v>
      </c>
      <c r="E272" t="s">
        <v>1065</v>
      </c>
      <c r="F272" t="s">
        <v>38</v>
      </c>
      <c r="G272" t="s">
        <v>39</v>
      </c>
      <c r="H272" t="s">
        <v>961</v>
      </c>
      <c r="I272" t="s">
        <v>199</v>
      </c>
      <c r="J272">
        <v>80538</v>
      </c>
      <c r="K272" t="s">
        <v>84</v>
      </c>
      <c r="L272" t="s">
        <v>1066</v>
      </c>
      <c r="M272" t="s">
        <v>44</v>
      </c>
      <c r="N272" t="s">
        <v>45</v>
      </c>
      <c r="O272" t="s">
        <v>1067</v>
      </c>
      <c r="P272">
        <v>1.1880000000000002</v>
      </c>
      <c r="Q272">
        <v>2</v>
      </c>
      <c r="R272">
        <v>0.7</v>
      </c>
      <c r="S272">
        <v>-0.98999999999999977</v>
      </c>
    </row>
    <row r="273" spans="1:19" x14ac:dyDescent="0.25">
      <c r="A273" t="s">
        <v>1068</v>
      </c>
      <c r="B273" s="4">
        <v>44259</v>
      </c>
      <c r="C273" t="s">
        <v>55</v>
      </c>
      <c r="D273" t="s">
        <v>1069</v>
      </c>
      <c r="E273" t="s">
        <v>1070</v>
      </c>
      <c r="F273" t="s">
        <v>66</v>
      </c>
      <c r="G273" t="s">
        <v>39</v>
      </c>
      <c r="H273" t="s">
        <v>714</v>
      </c>
      <c r="I273" t="s">
        <v>715</v>
      </c>
      <c r="J273">
        <v>60610</v>
      </c>
      <c r="K273" t="s">
        <v>42</v>
      </c>
      <c r="L273" t="s">
        <v>1071</v>
      </c>
      <c r="M273" t="s">
        <v>44</v>
      </c>
      <c r="N273" t="s">
        <v>52</v>
      </c>
      <c r="O273" t="s">
        <v>1072</v>
      </c>
      <c r="P273">
        <v>61.567999999999998</v>
      </c>
      <c r="Q273">
        <v>2</v>
      </c>
      <c r="R273">
        <v>0.2</v>
      </c>
      <c r="S273">
        <v>4.6175999999999995</v>
      </c>
    </row>
    <row r="274" spans="1:19" x14ac:dyDescent="0.25">
      <c r="A274" t="s">
        <v>1073</v>
      </c>
      <c r="B274" s="4">
        <v>44283</v>
      </c>
      <c r="C274" t="s">
        <v>35</v>
      </c>
      <c r="D274" t="s">
        <v>662</v>
      </c>
      <c r="E274" t="s">
        <v>663</v>
      </c>
      <c r="F274" t="s">
        <v>38</v>
      </c>
      <c r="G274" t="s">
        <v>39</v>
      </c>
      <c r="H274" t="s">
        <v>1074</v>
      </c>
      <c r="I274" t="s">
        <v>83</v>
      </c>
      <c r="J274">
        <v>90805</v>
      </c>
      <c r="K274" t="s">
        <v>84</v>
      </c>
      <c r="L274" t="s">
        <v>1075</v>
      </c>
      <c r="M274" t="s">
        <v>48</v>
      </c>
      <c r="N274" t="s">
        <v>168</v>
      </c>
      <c r="O274" t="s">
        <v>1076</v>
      </c>
      <c r="P274">
        <v>340.70400000000006</v>
      </c>
      <c r="Q274">
        <v>6</v>
      </c>
      <c r="R274">
        <v>0.2</v>
      </c>
      <c r="S274">
        <v>-34.070400000000006</v>
      </c>
    </row>
    <row r="275" spans="1:19" x14ac:dyDescent="0.25">
      <c r="A275" t="s">
        <v>1077</v>
      </c>
      <c r="B275" s="4">
        <v>44268</v>
      </c>
      <c r="C275" t="s">
        <v>238</v>
      </c>
      <c r="D275" t="s">
        <v>1078</v>
      </c>
      <c r="E275" t="s">
        <v>1079</v>
      </c>
      <c r="F275" t="s">
        <v>66</v>
      </c>
      <c r="G275" t="s">
        <v>39</v>
      </c>
      <c r="H275" t="s">
        <v>531</v>
      </c>
      <c r="I275" t="s">
        <v>532</v>
      </c>
      <c r="J275">
        <v>98103</v>
      </c>
      <c r="K275" t="s">
        <v>84</v>
      </c>
      <c r="L275" t="s">
        <v>1080</v>
      </c>
      <c r="M275" t="s">
        <v>44</v>
      </c>
      <c r="N275" t="s">
        <v>52</v>
      </c>
      <c r="O275" t="s">
        <v>1081</v>
      </c>
      <c r="P275">
        <v>31.44</v>
      </c>
      <c r="Q275">
        <v>3</v>
      </c>
      <c r="R275">
        <v>0</v>
      </c>
      <c r="S275">
        <v>8.4888000000000012</v>
      </c>
    </row>
    <row r="276" spans="1:19" x14ac:dyDescent="0.25">
      <c r="A276" t="s">
        <v>1082</v>
      </c>
      <c r="B276" s="4">
        <v>44277</v>
      </c>
      <c r="C276" t="s">
        <v>55</v>
      </c>
      <c r="D276" t="s">
        <v>870</v>
      </c>
      <c r="E276" t="s">
        <v>871</v>
      </c>
      <c r="F276" t="s">
        <v>66</v>
      </c>
      <c r="G276" t="s">
        <v>39</v>
      </c>
      <c r="H276" t="s">
        <v>40</v>
      </c>
      <c r="I276" t="s">
        <v>41</v>
      </c>
      <c r="J276">
        <v>77095</v>
      </c>
      <c r="K276" t="s">
        <v>42</v>
      </c>
      <c r="L276" t="s">
        <v>1083</v>
      </c>
      <c r="M276" t="s">
        <v>44</v>
      </c>
      <c r="N276" t="s">
        <v>152</v>
      </c>
      <c r="O276" t="s">
        <v>1084</v>
      </c>
      <c r="P276">
        <v>25.920000000000005</v>
      </c>
      <c r="Q276">
        <v>5</v>
      </c>
      <c r="R276">
        <v>0.2</v>
      </c>
      <c r="S276">
        <v>9.0719999999999992</v>
      </c>
    </row>
    <row r="277" spans="1:19" x14ac:dyDescent="0.25">
      <c r="A277" t="s">
        <v>1082</v>
      </c>
      <c r="B277" s="4">
        <v>44277</v>
      </c>
      <c r="C277" t="s">
        <v>55</v>
      </c>
      <c r="D277" t="s">
        <v>870</v>
      </c>
      <c r="E277" t="s">
        <v>871</v>
      </c>
      <c r="F277" t="s">
        <v>66</v>
      </c>
      <c r="G277" t="s">
        <v>39</v>
      </c>
      <c r="H277" t="s">
        <v>40</v>
      </c>
      <c r="I277" t="s">
        <v>41</v>
      </c>
      <c r="J277">
        <v>77095</v>
      </c>
      <c r="K277" t="s">
        <v>42</v>
      </c>
      <c r="L277" t="s">
        <v>768</v>
      </c>
      <c r="M277" t="s">
        <v>44</v>
      </c>
      <c r="N277" t="s">
        <v>45</v>
      </c>
      <c r="O277" t="s">
        <v>769</v>
      </c>
      <c r="P277">
        <v>6.3299999999999992</v>
      </c>
      <c r="Q277">
        <v>5</v>
      </c>
      <c r="R277">
        <v>0.8</v>
      </c>
      <c r="S277">
        <v>-9.8114999999999988</v>
      </c>
    </row>
    <row r="278" spans="1:19" x14ac:dyDescent="0.25">
      <c r="A278" t="s">
        <v>1082</v>
      </c>
      <c r="B278" s="4">
        <v>44277</v>
      </c>
      <c r="C278" t="s">
        <v>55</v>
      </c>
      <c r="D278" t="s">
        <v>870</v>
      </c>
      <c r="E278" t="s">
        <v>871</v>
      </c>
      <c r="F278" t="s">
        <v>66</v>
      </c>
      <c r="G278" t="s">
        <v>39</v>
      </c>
      <c r="H278" t="s">
        <v>40</v>
      </c>
      <c r="I278" t="s">
        <v>41</v>
      </c>
      <c r="J278">
        <v>77095</v>
      </c>
      <c r="K278" t="s">
        <v>42</v>
      </c>
      <c r="L278" t="s">
        <v>1085</v>
      </c>
      <c r="M278" t="s">
        <v>44</v>
      </c>
      <c r="N278" t="s">
        <v>152</v>
      </c>
      <c r="O278" t="s">
        <v>1086</v>
      </c>
      <c r="P278">
        <v>75.88</v>
      </c>
      <c r="Q278">
        <v>5</v>
      </c>
      <c r="R278">
        <v>0.2</v>
      </c>
      <c r="S278">
        <v>26.557999999999993</v>
      </c>
    </row>
    <row r="279" spans="1:19" x14ac:dyDescent="0.25">
      <c r="A279" t="s">
        <v>1087</v>
      </c>
      <c r="B279" s="4">
        <v>44256</v>
      </c>
      <c r="C279" t="s">
        <v>35</v>
      </c>
      <c r="D279" t="s">
        <v>1088</v>
      </c>
      <c r="E279" t="s">
        <v>1089</v>
      </c>
      <c r="F279" t="s">
        <v>218</v>
      </c>
      <c r="G279" t="s">
        <v>39</v>
      </c>
      <c r="H279" t="s">
        <v>1090</v>
      </c>
      <c r="I279" t="s">
        <v>119</v>
      </c>
      <c r="J279">
        <v>43302</v>
      </c>
      <c r="K279" t="s">
        <v>60</v>
      </c>
      <c r="L279" t="s">
        <v>1091</v>
      </c>
      <c r="M279" t="s">
        <v>48</v>
      </c>
      <c r="N279" t="s">
        <v>49</v>
      </c>
      <c r="O279" t="s">
        <v>1092</v>
      </c>
      <c r="P279">
        <v>7.7120000000000006</v>
      </c>
      <c r="Q279">
        <v>2</v>
      </c>
      <c r="R279">
        <v>0.2</v>
      </c>
      <c r="S279">
        <v>1.7352000000000005</v>
      </c>
    </row>
    <row r="280" spans="1:19" x14ac:dyDescent="0.25">
      <c r="A280" t="s">
        <v>1093</v>
      </c>
      <c r="B280" s="4">
        <v>44278</v>
      </c>
      <c r="C280" t="s">
        <v>55</v>
      </c>
      <c r="D280" t="s">
        <v>1094</v>
      </c>
      <c r="E280" t="s">
        <v>1095</v>
      </c>
      <c r="F280" t="s">
        <v>66</v>
      </c>
      <c r="G280" t="s">
        <v>39</v>
      </c>
      <c r="H280" t="s">
        <v>1096</v>
      </c>
      <c r="I280" t="s">
        <v>847</v>
      </c>
      <c r="J280">
        <v>37075</v>
      </c>
      <c r="K280" t="s">
        <v>406</v>
      </c>
      <c r="L280" t="s">
        <v>1097</v>
      </c>
      <c r="M280" t="s">
        <v>48</v>
      </c>
      <c r="N280" t="s">
        <v>49</v>
      </c>
      <c r="O280" t="s">
        <v>1098</v>
      </c>
      <c r="P280">
        <v>72.703999999999994</v>
      </c>
      <c r="Q280">
        <v>4</v>
      </c>
      <c r="R280">
        <v>0.2</v>
      </c>
      <c r="S280">
        <v>19.084800000000005</v>
      </c>
    </row>
    <row r="281" spans="1:19" x14ac:dyDescent="0.25">
      <c r="A281" t="s">
        <v>1093</v>
      </c>
      <c r="B281" s="4">
        <v>44278</v>
      </c>
      <c r="C281" t="s">
        <v>55</v>
      </c>
      <c r="D281" t="s">
        <v>1094</v>
      </c>
      <c r="E281" t="s">
        <v>1095</v>
      </c>
      <c r="F281" t="s">
        <v>66</v>
      </c>
      <c r="G281" t="s">
        <v>39</v>
      </c>
      <c r="H281" t="s">
        <v>1096</v>
      </c>
      <c r="I281" t="s">
        <v>847</v>
      </c>
      <c r="J281">
        <v>37075</v>
      </c>
      <c r="K281" t="s">
        <v>406</v>
      </c>
      <c r="L281" t="s">
        <v>1099</v>
      </c>
      <c r="M281" t="s">
        <v>44</v>
      </c>
      <c r="N281" t="s">
        <v>175</v>
      </c>
      <c r="O281" t="s">
        <v>1100</v>
      </c>
      <c r="P281">
        <v>12.263999999999999</v>
      </c>
      <c r="Q281">
        <v>7</v>
      </c>
      <c r="R281">
        <v>0.2</v>
      </c>
      <c r="S281">
        <v>1.0730999999999993</v>
      </c>
    </row>
    <row r="282" spans="1:19" x14ac:dyDescent="0.25">
      <c r="A282" t="s">
        <v>1093</v>
      </c>
      <c r="B282" s="4">
        <v>44278</v>
      </c>
      <c r="C282" t="s">
        <v>55</v>
      </c>
      <c r="D282" t="s">
        <v>1094</v>
      </c>
      <c r="E282" t="s">
        <v>1095</v>
      </c>
      <c r="F282" t="s">
        <v>66</v>
      </c>
      <c r="G282" t="s">
        <v>39</v>
      </c>
      <c r="H282" t="s">
        <v>1096</v>
      </c>
      <c r="I282" t="s">
        <v>847</v>
      </c>
      <c r="J282">
        <v>37075</v>
      </c>
      <c r="K282" t="s">
        <v>406</v>
      </c>
      <c r="L282" t="s">
        <v>295</v>
      </c>
      <c r="M282" t="s">
        <v>44</v>
      </c>
      <c r="N282" t="s">
        <v>52</v>
      </c>
      <c r="O282" t="s">
        <v>296</v>
      </c>
      <c r="P282">
        <v>218.35200000000003</v>
      </c>
      <c r="Q282">
        <v>3</v>
      </c>
      <c r="R282">
        <v>0.2</v>
      </c>
      <c r="S282">
        <v>-54.588000000000008</v>
      </c>
    </row>
    <row r="283" spans="1:19" x14ac:dyDescent="0.25">
      <c r="A283" t="s">
        <v>1101</v>
      </c>
      <c r="B283" s="4">
        <v>44257</v>
      </c>
      <c r="C283" t="s">
        <v>55</v>
      </c>
      <c r="D283" t="s">
        <v>1102</v>
      </c>
      <c r="E283" t="s">
        <v>1103</v>
      </c>
      <c r="F283" t="s">
        <v>38</v>
      </c>
      <c r="G283" t="s">
        <v>39</v>
      </c>
      <c r="H283" t="s">
        <v>369</v>
      </c>
      <c r="I283" t="s">
        <v>83</v>
      </c>
      <c r="J283">
        <v>94601</v>
      </c>
      <c r="K283" t="s">
        <v>84</v>
      </c>
      <c r="L283" t="s">
        <v>1104</v>
      </c>
      <c r="M283" t="s">
        <v>86</v>
      </c>
      <c r="N283" t="s">
        <v>87</v>
      </c>
      <c r="O283" t="s">
        <v>1105</v>
      </c>
      <c r="P283">
        <v>39.992000000000004</v>
      </c>
      <c r="Q283">
        <v>1</v>
      </c>
      <c r="R283">
        <v>0.2</v>
      </c>
      <c r="S283">
        <v>-7.9984000000000073</v>
      </c>
    </row>
    <row r="284" spans="1:19" x14ac:dyDescent="0.25">
      <c r="A284" t="s">
        <v>1101</v>
      </c>
      <c r="B284" s="4">
        <v>44257</v>
      </c>
      <c r="C284" t="s">
        <v>55</v>
      </c>
      <c r="D284" t="s">
        <v>1102</v>
      </c>
      <c r="E284" t="s">
        <v>1103</v>
      </c>
      <c r="F284" t="s">
        <v>38</v>
      </c>
      <c r="G284" t="s">
        <v>39</v>
      </c>
      <c r="H284" t="s">
        <v>369</v>
      </c>
      <c r="I284" t="s">
        <v>83</v>
      </c>
      <c r="J284">
        <v>94601</v>
      </c>
      <c r="K284" t="s">
        <v>84</v>
      </c>
      <c r="L284" t="s">
        <v>1106</v>
      </c>
      <c r="M284" t="s">
        <v>48</v>
      </c>
      <c r="N284" t="s">
        <v>168</v>
      </c>
      <c r="O284" t="s">
        <v>1107</v>
      </c>
      <c r="P284">
        <v>1159.056</v>
      </c>
      <c r="Q284">
        <v>9</v>
      </c>
      <c r="R284">
        <v>0.2</v>
      </c>
      <c r="S284">
        <v>43.464599999999905</v>
      </c>
    </row>
    <row r="285" spans="1:19" x14ac:dyDescent="0.25">
      <c r="A285" t="s">
        <v>1101</v>
      </c>
      <c r="B285" s="4">
        <v>44257</v>
      </c>
      <c r="C285" t="s">
        <v>55</v>
      </c>
      <c r="D285" t="s">
        <v>1102</v>
      </c>
      <c r="E285" t="s">
        <v>1103</v>
      </c>
      <c r="F285" t="s">
        <v>38</v>
      </c>
      <c r="G285" t="s">
        <v>39</v>
      </c>
      <c r="H285" t="s">
        <v>369</v>
      </c>
      <c r="I285" t="s">
        <v>83</v>
      </c>
      <c r="J285">
        <v>94601</v>
      </c>
      <c r="K285" t="s">
        <v>84</v>
      </c>
      <c r="L285" t="s">
        <v>1108</v>
      </c>
      <c r="M285" t="s">
        <v>44</v>
      </c>
      <c r="N285" t="s">
        <v>175</v>
      </c>
      <c r="O285" t="s">
        <v>1109</v>
      </c>
      <c r="P285">
        <v>179.89999999999998</v>
      </c>
      <c r="Q285">
        <v>5</v>
      </c>
      <c r="R285">
        <v>0</v>
      </c>
      <c r="S285">
        <v>44.974999999999987</v>
      </c>
    </row>
    <row r="286" spans="1:19" x14ac:dyDescent="0.25">
      <c r="A286" t="s">
        <v>1110</v>
      </c>
      <c r="B286" s="4">
        <v>44266</v>
      </c>
      <c r="C286" t="s">
        <v>35</v>
      </c>
      <c r="D286" t="s">
        <v>1111</v>
      </c>
      <c r="E286" t="s">
        <v>1112</v>
      </c>
      <c r="F286" t="s">
        <v>38</v>
      </c>
      <c r="G286" t="s">
        <v>39</v>
      </c>
      <c r="H286" t="s">
        <v>1113</v>
      </c>
      <c r="I286" t="s">
        <v>715</v>
      </c>
      <c r="J286">
        <v>60067</v>
      </c>
      <c r="K286" t="s">
        <v>42</v>
      </c>
      <c r="L286" t="s">
        <v>1114</v>
      </c>
      <c r="M286" t="s">
        <v>86</v>
      </c>
      <c r="N286" t="s">
        <v>109</v>
      </c>
      <c r="O286" t="s">
        <v>1115</v>
      </c>
      <c r="P286">
        <v>116.312</v>
      </c>
      <c r="Q286">
        <v>7</v>
      </c>
      <c r="R286">
        <v>0.2</v>
      </c>
      <c r="S286">
        <v>23.262400000000003</v>
      </c>
    </row>
    <row r="287" spans="1:19" x14ac:dyDescent="0.25">
      <c r="A287" t="s">
        <v>1116</v>
      </c>
      <c r="B287" s="4">
        <v>44257</v>
      </c>
      <c r="C287" t="s">
        <v>35</v>
      </c>
      <c r="D287" t="s">
        <v>1117</v>
      </c>
      <c r="E287" t="s">
        <v>1118</v>
      </c>
      <c r="F287" t="s">
        <v>66</v>
      </c>
      <c r="G287" t="s">
        <v>39</v>
      </c>
      <c r="H287" t="s">
        <v>1119</v>
      </c>
      <c r="I287" t="s">
        <v>413</v>
      </c>
      <c r="J287">
        <v>24153</v>
      </c>
      <c r="K287" t="s">
        <v>406</v>
      </c>
      <c r="L287" t="s">
        <v>1120</v>
      </c>
      <c r="M287" t="s">
        <v>48</v>
      </c>
      <c r="N287" t="s">
        <v>168</v>
      </c>
      <c r="O287" t="s">
        <v>1121</v>
      </c>
      <c r="P287">
        <v>701.96</v>
      </c>
      <c r="Q287">
        <v>2</v>
      </c>
      <c r="R287">
        <v>0</v>
      </c>
      <c r="S287">
        <v>168.47040000000004</v>
      </c>
    </row>
    <row r="288" spans="1:19" x14ac:dyDescent="0.25">
      <c r="A288" t="s">
        <v>1122</v>
      </c>
      <c r="B288" s="4">
        <v>44269</v>
      </c>
      <c r="C288" t="s">
        <v>55</v>
      </c>
      <c r="D288" t="s">
        <v>1123</v>
      </c>
      <c r="E288" t="s">
        <v>1124</v>
      </c>
      <c r="F288" t="s">
        <v>66</v>
      </c>
      <c r="G288" t="s">
        <v>39</v>
      </c>
      <c r="H288" t="s">
        <v>1125</v>
      </c>
      <c r="I288" t="s">
        <v>41</v>
      </c>
      <c r="J288">
        <v>75023</v>
      </c>
      <c r="K288" t="s">
        <v>42</v>
      </c>
      <c r="L288" t="s">
        <v>1126</v>
      </c>
      <c r="M288" t="s">
        <v>48</v>
      </c>
      <c r="N288" t="s">
        <v>155</v>
      </c>
      <c r="O288" t="s">
        <v>1127</v>
      </c>
      <c r="P288">
        <v>974.98799999999983</v>
      </c>
      <c r="Q288">
        <v>4</v>
      </c>
      <c r="R288">
        <v>0.3</v>
      </c>
      <c r="S288">
        <v>-97.49879999999996</v>
      </c>
    </row>
    <row r="289" spans="1:19" x14ac:dyDescent="0.25">
      <c r="A289" t="s">
        <v>1128</v>
      </c>
      <c r="B289" s="4">
        <v>44275</v>
      </c>
      <c r="C289" t="s">
        <v>55</v>
      </c>
      <c r="D289" t="s">
        <v>1129</v>
      </c>
      <c r="E289" t="s">
        <v>1130</v>
      </c>
      <c r="F289" t="s">
        <v>38</v>
      </c>
      <c r="G289" t="s">
        <v>39</v>
      </c>
      <c r="H289" t="s">
        <v>58</v>
      </c>
      <c r="I289" t="s">
        <v>59</v>
      </c>
      <c r="J289">
        <v>10009</v>
      </c>
      <c r="K289" t="s">
        <v>60</v>
      </c>
      <c r="L289" t="s">
        <v>162</v>
      </c>
      <c r="M289" t="s">
        <v>44</v>
      </c>
      <c r="N289" t="s">
        <v>152</v>
      </c>
      <c r="O289" t="s">
        <v>163</v>
      </c>
      <c r="P289">
        <v>279.89999999999998</v>
      </c>
      <c r="Q289">
        <v>5</v>
      </c>
      <c r="R289">
        <v>0</v>
      </c>
      <c r="S289">
        <v>137.15100000000001</v>
      </c>
    </row>
    <row r="290" spans="1:19" x14ac:dyDescent="0.25">
      <c r="A290" t="s">
        <v>1128</v>
      </c>
      <c r="B290" s="4">
        <v>44275</v>
      </c>
      <c r="C290" t="s">
        <v>55</v>
      </c>
      <c r="D290" t="s">
        <v>1129</v>
      </c>
      <c r="E290" t="s">
        <v>1130</v>
      </c>
      <c r="F290" t="s">
        <v>38</v>
      </c>
      <c r="G290" t="s">
        <v>39</v>
      </c>
      <c r="H290" t="s">
        <v>58</v>
      </c>
      <c r="I290" t="s">
        <v>59</v>
      </c>
      <c r="J290">
        <v>10009</v>
      </c>
      <c r="K290" t="s">
        <v>60</v>
      </c>
      <c r="L290" t="s">
        <v>538</v>
      </c>
      <c r="M290" t="s">
        <v>44</v>
      </c>
      <c r="N290" t="s">
        <v>45</v>
      </c>
      <c r="O290" t="s">
        <v>539</v>
      </c>
      <c r="P290">
        <v>50.352000000000004</v>
      </c>
      <c r="Q290">
        <v>3</v>
      </c>
      <c r="R290">
        <v>0.2</v>
      </c>
      <c r="S290">
        <v>17.623199999999997</v>
      </c>
    </row>
    <row r="291" spans="1:19" x14ac:dyDescent="0.25">
      <c r="A291" t="s">
        <v>1128</v>
      </c>
      <c r="B291" s="4">
        <v>44275</v>
      </c>
      <c r="C291" t="s">
        <v>55</v>
      </c>
      <c r="D291" t="s">
        <v>1129</v>
      </c>
      <c r="E291" t="s">
        <v>1130</v>
      </c>
      <c r="F291" t="s">
        <v>38</v>
      </c>
      <c r="G291" t="s">
        <v>39</v>
      </c>
      <c r="H291" t="s">
        <v>58</v>
      </c>
      <c r="I291" t="s">
        <v>59</v>
      </c>
      <c r="J291">
        <v>10009</v>
      </c>
      <c r="K291" t="s">
        <v>60</v>
      </c>
      <c r="L291" t="s">
        <v>1131</v>
      </c>
      <c r="M291" t="s">
        <v>44</v>
      </c>
      <c r="N291" t="s">
        <v>152</v>
      </c>
      <c r="O291" t="s">
        <v>1132</v>
      </c>
      <c r="P291">
        <v>34.019999999999996</v>
      </c>
      <c r="Q291">
        <v>3</v>
      </c>
      <c r="R291">
        <v>0</v>
      </c>
      <c r="S291">
        <v>16.669799999999999</v>
      </c>
    </row>
    <row r="292" spans="1:19" x14ac:dyDescent="0.25">
      <c r="A292" t="s">
        <v>1133</v>
      </c>
      <c r="B292" s="4">
        <v>44259</v>
      </c>
      <c r="C292" t="s">
        <v>55</v>
      </c>
      <c r="D292" t="s">
        <v>456</v>
      </c>
      <c r="E292" t="s">
        <v>457</v>
      </c>
      <c r="F292" t="s">
        <v>66</v>
      </c>
      <c r="G292" t="s">
        <v>39</v>
      </c>
      <c r="H292" t="s">
        <v>483</v>
      </c>
      <c r="I292" t="s">
        <v>1134</v>
      </c>
      <c r="J292">
        <v>55901</v>
      </c>
      <c r="K292" t="s">
        <v>42</v>
      </c>
      <c r="L292" t="s">
        <v>1135</v>
      </c>
      <c r="M292" t="s">
        <v>44</v>
      </c>
      <c r="N292" t="s">
        <v>175</v>
      </c>
      <c r="O292" t="s">
        <v>1136</v>
      </c>
      <c r="P292">
        <v>8.8000000000000007</v>
      </c>
      <c r="Q292">
        <v>5</v>
      </c>
      <c r="R292">
        <v>0</v>
      </c>
      <c r="S292">
        <v>2.5519999999999996</v>
      </c>
    </row>
    <row r="293" spans="1:19" x14ac:dyDescent="0.25">
      <c r="A293" t="s">
        <v>1133</v>
      </c>
      <c r="B293" s="4">
        <v>44259</v>
      </c>
      <c r="C293" t="s">
        <v>55</v>
      </c>
      <c r="D293" t="s">
        <v>456</v>
      </c>
      <c r="E293" t="s">
        <v>457</v>
      </c>
      <c r="F293" t="s">
        <v>66</v>
      </c>
      <c r="G293" t="s">
        <v>39</v>
      </c>
      <c r="H293" t="s">
        <v>483</v>
      </c>
      <c r="I293" t="s">
        <v>1134</v>
      </c>
      <c r="J293">
        <v>55901</v>
      </c>
      <c r="K293" t="s">
        <v>42</v>
      </c>
      <c r="L293" t="s">
        <v>1137</v>
      </c>
      <c r="M293" t="s">
        <v>86</v>
      </c>
      <c r="N293" t="s">
        <v>109</v>
      </c>
      <c r="O293" t="s">
        <v>1138</v>
      </c>
      <c r="P293">
        <v>142.80000000000001</v>
      </c>
      <c r="Q293">
        <v>1</v>
      </c>
      <c r="R293">
        <v>0</v>
      </c>
      <c r="S293">
        <v>29.988</v>
      </c>
    </row>
    <row r="294" spans="1:19" x14ac:dyDescent="0.25">
      <c r="A294" t="s">
        <v>1133</v>
      </c>
      <c r="B294" s="4">
        <v>44259</v>
      </c>
      <c r="C294" t="s">
        <v>55</v>
      </c>
      <c r="D294" t="s">
        <v>456</v>
      </c>
      <c r="E294" t="s">
        <v>457</v>
      </c>
      <c r="F294" t="s">
        <v>66</v>
      </c>
      <c r="G294" t="s">
        <v>39</v>
      </c>
      <c r="H294" t="s">
        <v>483</v>
      </c>
      <c r="I294" t="s">
        <v>1134</v>
      </c>
      <c r="J294">
        <v>55901</v>
      </c>
      <c r="K294" t="s">
        <v>42</v>
      </c>
      <c r="L294" t="s">
        <v>1139</v>
      </c>
      <c r="M294" t="s">
        <v>86</v>
      </c>
      <c r="N294" t="s">
        <v>109</v>
      </c>
      <c r="O294" t="s">
        <v>1140</v>
      </c>
      <c r="P294">
        <v>399.95</v>
      </c>
      <c r="Q294">
        <v>5</v>
      </c>
      <c r="R294">
        <v>0</v>
      </c>
      <c r="S294">
        <v>143.982</v>
      </c>
    </row>
    <row r="295" spans="1:19" x14ac:dyDescent="0.25">
      <c r="A295" t="s">
        <v>1141</v>
      </c>
      <c r="B295" s="4">
        <v>44271</v>
      </c>
      <c r="C295" t="s">
        <v>73</v>
      </c>
      <c r="D295" t="s">
        <v>828</v>
      </c>
      <c r="E295" t="s">
        <v>829</v>
      </c>
      <c r="F295" t="s">
        <v>218</v>
      </c>
      <c r="G295" t="s">
        <v>39</v>
      </c>
      <c r="H295" t="s">
        <v>173</v>
      </c>
      <c r="I295" t="s">
        <v>83</v>
      </c>
      <c r="J295">
        <v>90036</v>
      </c>
      <c r="K295" t="s">
        <v>84</v>
      </c>
      <c r="L295" t="s">
        <v>1142</v>
      </c>
      <c r="M295" t="s">
        <v>44</v>
      </c>
      <c r="N295" t="s">
        <v>152</v>
      </c>
      <c r="O295" t="s">
        <v>1143</v>
      </c>
      <c r="P295">
        <v>13.36</v>
      </c>
      <c r="Q295">
        <v>2</v>
      </c>
      <c r="R295">
        <v>0</v>
      </c>
      <c r="S295">
        <v>6.4127999999999998</v>
      </c>
    </row>
    <row r="296" spans="1:19" x14ac:dyDescent="0.25">
      <c r="A296" t="s">
        <v>1141</v>
      </c>
      <c r="B296" s="4">
        <v>44271</v>
      </c>
      <c r="C296" t="s">
        <v>73</v>
      </c>
      <c r="D296" t="s">
        <v>828</v>
      </c>
      <c r="E296" t="s">
        <v>829</v>
      </c>
      <c r="F296" t="s">
        <v>218</v>
      </c>
      <c r="G296" t="s">
        <v>39</v>
      </c>
      <c r="H296" t="s">
        <v>173</v>
      </c>
      <c r="I296" t="s">
        <v>83</v>
      </c>
      <c r="J296">
        <v>90036</v>
      </c>
      <c r="K296" t="s">
        <v>84</v>
      </c>
      <c r="L296" t="s">
        <v>1144</v>
      </c>
      <c r="M296" t="s">
        <v>44</v>
      </c>
      <c r="N296" t="s">
        <v>52</v>
      </c>
      <c r="O296" t="s">
        <v>1145</v>
      </c>
      <c r="P296">
        <v>158.9</v>
      </c>
      <c r="Q296">
        <v>5</v>
      </c>
      <c r="R296">
        <v>0</v>
      </c>
      <c r="S296">
        <v>7.9449999999999932</v>
      </c>
    </row>
    <row r="297" spans="1:19" x14ac:dyDescent="0.25">
      <c r="A297" t="s">
        <v>1146</v>
      </c>
      <c r="B297" s="4">
        <v>44257</v>
      </c>
      <c r="C297" t="s">
        <v>55</v>
      </c>
      <c r="D297" t="s">
        <v>1147</v>
      </c>
      <c r="E297" t="s">
        <v>1148</v>
      </c>
      <c r="F297" t="s">
        <v>38</v>
      </c>
      <c r="G297" t="s">
        <v>39</v>
      </c>
      <c r="H297" t="s">
        <v>40</v>
      </c>
      <c r="I297" t="s">
        <v>41</v>
      </c>
      <c r="J297">
        <v>77095</v>
      </c>
      <c r="K297" t="s">
        <v>42</v>
      </c>
      <c r="L297" t="s">
        <v>1149</v>
      </c>
      <c r="M297" t="s">
        <v>44</v>
      </c>
      <c r="N297" t="s">
        <v>175</v>
      </c>
      <c r="O297" t="s">
        <v>1150</v>
      </c>
      <c r="P297">
        <v>12.160000000000002</v>
      </c>
      <c r="Q297">
        <v>5</v>
      </c>
      <c r="R297">
        <v>0.2</v>
      </c>
      <c r="S297">
        <v>2.1279999999999988</v>
      </c>
    </row>
    <row r="298" spans="1:19" x14ac:dyDescent="0.25">
      <c r="A298" t="s">
        <v>1151</v>
      </c>
      <c r="B298" s="4">
        <v>44269</v>
      </c>
      <c r="C298" t="s">
        <v>238</v>
      </c>
      <c r="D298" t="s">
        <v>1152</v>
      </c>
      <c r="E298" t="s">
        <v>1153</v>
      </c>
      <c r="F298" t="s">
        <v>66</v>
      </c>
      <c r="G298" t="s">
        <v>39</v>
      </c>
      <c r="H298" t="s">
        <v>1154</v>
      </c>
      <c r="I298" t="s">
        <v>715</v>
      </c>
      <c r="J298">
        <v>60076</v>
      </c>
      <c r="K298" t="s">
        <v>42</v>
      </c>
      <c r="L298" t="s">
        <v>1155</v>
      </c>
      <c r="M298" t="s">
        <v>48</v>
      </c>
      <c r="N298" t="s">
        <v>49</v>
      </c>
      <c r="O298" t="s">
        <v>1156</v>
      </c>
      <c r="P298">
        <v>266.35200000000003</v>
      </c>
      <c r="Q298">
        <v>6</v>
      </c>
      <c r="R298">
        <v>0.6</v>
      </c>
      <c r="S298">
        <v>-292.98719999999997</v>
      </c>
    </row>
    <row r="299" spans="1:19" x14ac:dyDescent="0.25">
      <c r="A299" t="s">
        <v>1151</v>
      </c>
      <c r="B299" s="4">
        <v>44269</v>
      </c>
      <c r="C299" t="s">
        <v>238</v>
      </c>
      <c r="D299" t="s">
        <v>1152</v>
      </c>
      <c r="E299" t="s">
        <v>1153</v>
      </c>
      <c r="F299" t="s">
        <v>66</v>
      </c>
      <c r="G299" t="s">
        <v>39</v>
      </c>
      <c r="H299" t="s">
        <v>1154</v>
      </c>
      <c r="I299" t="s">
        <v>715</v>
      </c>
      <c r="J299">
        <v>60076</v>
      </c>
      <c r="K299" t="s">
        <v>42</v>
      </c>
      <c r="L299" t="s">
        <v>1157</v>
      </c>
      <c r="M299" t="s">
        <v>48</v>
      </c>
      <c r="N299" t="s">
        <v>49</v>
      </c>
      <c r="O299" t="s">
        <v>1158</v>
      </c>
      <c r="P299">
        <v>56.328000000000003</v>
      </c>
      <c r="Q299">
        <v>3</v>
      </c>
      <c r="R299">
        <v>0.6</v>
      </c>
      <c r="S299">
        <v>-26.755799999999994</v>
      </c>
    </row>
    <row r="300" spans="1:19" x14ac:dyDescent="0.25">
      <c r="A300" t="s">
        <v>1151</v>
      </c>
      <c r="B300" s="4">
        <v>44269</v>
      </c>
      <c r="C300" t="s">
        <v>238</v>
      </c>
      <c r="D300" t="s">
        <v>1152</v>
      </c>
      <c r="E300" t="s">
        <v>1153</v>
      </c>
      <c r="F300" t="s">
        <v>66</v>
      </c>
      <c r="G300" t="s">
        <v>39</v>
      </c>
      <c r="H300" t="s">
        <v>1154</v>
      </c>
      <c r="I300" t="s">
        <v>715</v>
      </c>
      <c r="J300">
        <v>60076</v>
      </c>
      <c r="K300" t="s">
        <v>42</v>
      </c>
      <c r="L300" t="s">
        <v>700</v>
      </c>
      <c r="M300" t="s">
        <v>86</v>
      </c>
      <c r="N300" t="s">
        <v>109</v>
      </c>
      <c r="O300" t="s">
        <v>701</v>
      </c>
      <c r="P300">
        <v>39.264000000000003</v>
      </c>
      <c r="Q300">
        <v>3</v>
      </c>
      <c r="R300">
        <v>0.2</v>
      </c>
      <c r="S300">
        <v>-4.908000000000003</v>
      </c>
    </row>
    <row r="301" spans="1:19" x14ac:dyDescent="0.25">
      <c r="A301" t="s">
        <v>1151</v>
      </c>
      <c r="B301" s="4">
        <v>44269</v>
      </c>
      <c r="C301" t="s">
        <v>238</v>
      </c>
      <c r="D301" t="s">
        <v>1152</v>
      </c>
      <c r="E301" t="s">
        <v>1153</v>
      </c>
      <c r="F301" t="s">
        <v>66</v>
      </c>
      <c r="G301" t="s">
        <v>39</v>
      </c>
      <c r="H301" t="s">
        <v>1154</v>
      </c>
      <c r="I301" t="s">
        <v>715</v>
      </c>
      <c r="J301">
        <v>60076</v>
      </c>
      <c r="K301" t="s">
        <v>42</v>
      </c>
      <c r="L301" t="s">
        <v>1159</v>
      </c>
      <c r="M301" t="s">
        <v>44</v>
      </c>
      <c r="N301" t="s">
        <v>175</v>
      </c>
      <c r="O301" t="s">
        <v>1160</v>
      </c>
      <c r="P301">
        <v>95.231999999999999</v>
      </c>
      <c r="Q301">
        <v>6</v>
      </c>
      <c r="R301">
        <v>0.2</v>
      </c>
      <c r="S301">
        <v>24.998400000000011</v>
      </c>
    </row>
    <row r="302" spans="1:19" x14ac:dyDescent="0.25">
      <c r="A302" t="s">
        <v>1161</v>
      </c>
      <c r="B302" s="4">
        <v>44266</v>
      </c>
      <c r="C302" t="s">
        <v>55</v>
      </c>
      <c r="D302" t="s">
        <v>1162</v>
      </c>
      <c r="E302" t="s">
        <v>1163</v>
      </c>
      <c r="F302" t="s">
        <v>66</v>
      </c>
      <c r="G302" t="s">
        <v>39</v>
      </c>
      <c r="H302" t="s">
        <v>58</v>
      </c>
      <c r="I302" t="s">
        <v>59</v>
      </c>
      <c r="J302">
        <v>10035</v>
      </c>
      <c r="K302" t="s">
        <v>60</v>
      </c>
      <c r="L302" t="s">
        <v>1164</v>
      </c>
      <c r="M302" t="s">
        <v>44</v>
      </c>
      <c r="N302" t="s">
        <v>45</v>
      </c>
      <c r="O302" t="s">
        <v>1165</v>
      </c>
      <c r="P302">
        <v>14.952000000000002</v>
      </c>
      <c r="Q302">
        <v>1</v>
      </c>
      <c r="R302">
        <v>0.2</v>
      </c>
      <c r="S302">
        <v>5.0462999999999996</v>
      </c>
    </row>
    <row r="303" spans="1:19" x14ac:dyDescent="0.25">
      <c r="A303" t="s">
        <v>1161</v>
      </c>
      <c r="B303" s="4">
        <v>44266</v>
      </c>
      <c r="C303" t="s">
        <v>55</v>
      </c>
      <c r="D303" t="s">
        <v>1162</v>
      </c>
      <c r="E303" t="s">
        <v>1163</v>
      </c>
      <c r="F303" t="s">
        <v>66</v>
      </c>
      <c r="G303" t="s">
        <v>39</v>
      </c>
      <c r="H303" t="s">
        <v>58</v>
      </c>
      <c r="I303" t="s">
        <v>59</v>
      </c>
      <c r="J303">
        <v>10035</v>
      </c>
      <c r="K303" t="s">
        <v>60</v>
      </c>
      <c r="L303" t="s">
        <v>1166</v>
      </c>
      <c r="M303" t="s">
        <v>44</v>
      </c>
      <c r="N303" t="s">
        <v>152</v>
      </c>
      <c r="O303" t="s">
        <v>1167</v>
      </c>
      <c r="P303">
        <v>17.940000000000001</v>
      </c>
      <c r="Q303">
        <v>3</v>
      </c>
      <c r="R303">
        <v>0</v>
      </c>
      <c r="S303">
        <v>8.0730000000000004</v>
      </c>
    </row>
    <row r="304" spans="1:19" x14ac:dyDescent="0.25">
      <c r="A304" t="s">
        <v>1161</v>
      </c>
      <c r="B304" s="4">
        <v>44266</v>
      </c>
      <c r="C304" t="s">
        <v>55</v>
      </c>
      <c r="D304" t="s">
        <v>1162</v>
      </c>
      <c r="E304" t="s">
        <v>1163</v>
      </c>
      <c r="F304" t="s">
        <v>66</v>
      </c>
      <c r="G304" t="s">
        <v>39</v>
      </c>
      <c r="H304" t="s">
        <v>58</v>
      </c>
      <c r="I304" t="s">
        <v>59</v>
      </c>
      <c r="J304">
        <v>10035</v>
      </c>
      <c r="K304" t="s">
        <v>60</v>
      </c>
      <c r="L304" t="s">
        <v>1168</v>
      </c>
      <c r="M304" t="s">
        <v>86</v>
      </c>
      <c r="N304" t="s">
        <v>87</v>
      </c>
      <c r="O304" t="s">
        <v>1169</v>
      </c>
      <c r="P304">
        <v>116.98</v>
      </c>
      <c r="Q304">
        <v>2</v>
      </c>
      <c r="R304">
        <v>0</v>
      </c>
      <c r="S304">
        <v>29.245000000000005</v>
      </c>
    </row>
    <row r="305" spans="1:19" x14ac:dyDescent="0.25">
      <c r="A305" t="s">
        <v>1170</v>
      </c>
      <c r="B305" s="4">
        <v>44257</v>
      </c>
      <c r="C305" t="s">
        <v>55</v>
      </c>
      <c r="D305" t="s">
        <v>1171</v>
      </c>
      <c r="E305" t="s">
        <v>1172</v>
      </c>
      <c r="F305" t="s">
        <v>66</v>
      </c>
      <c r="G305" t="s">
        <v>39</v>
      </c>
      <c r="H305" t="s">
        <v>1173</v>
      </c>
      <c r="I305" t="s">
        <v>894</v>
      </c>
      <c r="J305">
        <v>27405</v>
      </c>
      <c r="K305" t="s">
        <v>406</v>
      </c>
      <c r="L305" t="s">
        <v>1174</v>
      </c>
      <c r="M305" t="s">
        <v>44</v>
      </c>
      <c r="N305" t="s">
        <v>175</v>
      </c>
      <c r="O305" t="s">
        <v>1175</v>
      </c>
      <c r="P305">
        <v>32.776000000000003</v>
      </c>
      <c r="Q305">
        <v>1</v>
      </c>
      <c r="R305">
        <v>0.2</v>
      </c>
      <c r="S305">
        <v>2.4581999999999997</v>
      </c>
    </row>
    <row r="306" spans="1:19" x14ac:dyDescent="0.25">
      <c r="A306" t="s">
        <v>1176</v>
      </c>
      <c r="B306" s="4">
        <v>44264</v>
      </c>
      <c r="C306" t="s">
        <v>55</v>
      </c>
      <c r="D306" t="s">
        <v>1177</v>
      </c>
      <c r="E306" t="s">
        <v>1178</v>
      </c>
      <c r="F306" t="s">
        <v>38</v>
      </c>
      <c r="G306" t="s">
        <v>39</v>
      </c>
      <c r="H306" t="s">
        <v>1179</v>
      </c>
      <c r="I306" t="s">
        <v>971</v>
      </c>
      <c r="J306">
        <v>85023</v>
      </c>
      <c r="K306" t="s">
        <v>84</v>
      </c>
      <c r="L306" t="s">
        <v>1180</v>
      </c>
      <c r="M306" t="s">
        <v>44</v>
      </c>
      <c r="N306" t="s">
        <v>152</v>
      </c>
      <c r="O306" t="s">
        <v>1181</v>
      </c>
      <c r="P306">
        <v>419.4</v>
      </c>
      <c r="Q306">
        <v>5</v>
      </c>
      <c r="R306">
        <v>0.2</v>
      </c>
      <c r="S306">
        <v>146.79</v>
      </c>
    </row>
    <row r="307" spans="1:19" x14ac:dyDescent="0.25">
      <c r="A307" t="s">
        <v>1176</v>
      </c>
      <c r="B307" s="4">
        <v>44264</v>
      </c>
      <c r="C307" t="s">
        <v>55</v>
      </c>
      <c r="D307" t="s">
        <v>1177</v>
      </c>
      <c r="E307" t="s">
        <v>1178</v>
      </c>
      <c r="F307" t="s">
        <v>38</v>
      </c>
      <c r="G307" t="s">
        <v>39</v>
      </c>
      <c r="H307" t="s">
        <v>1179</v>
      </c>
      <c r="I307" t="s">
        <v>971</v>
      </c>
      <c r="J307">
        <v>85023</v>
      </c>
      <c r="K307" t="s">
        <v>84</v>
      </c>
      <c r="L307" t="s">
        <v>1182</v>
      </c>
      <c r="M307" t="s">
        <v>44</v>
      </c>
      <c r="N307" t="s">
        <v>45</v>
      </c>
      <c r="O307" t="s">
        <v>1183</v>
      </c>
      <c r="P307">
        <v>13.005000000000003</v>
      </c>
      <c r="Q307">
        <v>3</v>
      </c>
      <c r="R307">
        <v>0.7</v>
      </c>
      <c r="S307">
        <v>-9.9704999999999977</v>
      </c>
    </row>
    <row r="308" spans="1:19" x14ac:dyDescent="0.25">
      <c r="A308" t="s">
        <v>1184</v>
      </c>
      <c r="B308" s="4">
        <v>44280</v>
      </c>
      <c r="C308" t="s">
        <v>55</v>
      </c>
      <c r="D308" t="s">
        <v>1185</v>
      </c>
      <c r="E308" t="s">
        <v>1186</v>
      </c>
      <c r="F308" t="s">
        <v>38</v>
      </c>
      <c r="G308" t="s">
        <v>39</v>
      </c>
      <c r="H308" t="s">
        <v>1187</v>
      </c>
      <c r="I308" t="s">
        <v>532</v>
      </c>
      <c r="J308">
        <v>98208</v>
      </c>
      <c r="K308" t="s">
        <v>84</v>
      </c>
      <c r="L308" t="s">
        <v>1188</v>
      </c>
      <c r="M308" t="s">
        <v>44</v>
      </c>
      <c r="N308" t="s">
        <v>45</v>
      </c>
      <c r="O308" t="s">
        <v>1189</v>
      </c>
      <c r="P308">
        <v>3.8560000000000003</v>
      </c>
      <c r="Q308">
        <v>1</v>
      </c>
      <c r="R308">
        <v>0.2</v>
      </c>
      <c r="S308">
        <v>1.3978000000000002</v>
      </c>
    </row>
    <row r="309" spans="1:19" x14ac:dyDescent="0.25">
      <c r="A309" t="s">
        <v>1190</v>
      </c>
      <c r="B309" s="4">
        <v>44283</v>
      </c>
      <c r="C309" t="s">
        <v>55</v>
      </c>
      <c r="D309" t="s">
        <v>1191</v>
      </c>
      <c r="E309" t="s">
        <v>1192</v>
      </c>
      <c r="F309" t="s">
        <v>38</v>
      </c>
      <c r="G309" t="s">
        <v>39</v>
      </c>
      <c r="H309" t="s">
        <v>1193</v>
      </c>
      <c r="I309" t="s">
        <v>715</v>
      </c>
      <c r="J309">
        <v>61604</v>
      </c>
      <c r="K309" t="s">
        <v>42</v>
      </c>
      <c r="L309" t="s">
        <v>1194</v>
      </c>
      <c r="M309" t="s">
        <v>44</v>
      </c>
      <c r="N309" t="s">
        <v>45</v>
      </c>
      <c r="O309" t="s">
        <v>1195</v>
      </c>
      <c r="P309">
        <v>1.6799999999999995</v>
      </c>
      <c r="Q309">
        <v>5</v>
      </c>
      <c r="R309">
        <v>0.8</v>
      </c>
      <c r="S309">
        <v>-2.6880000000000015</v>
      </c>
    </row>
    <row r="310" spans="1:19" x14ac:dyDescent="0.25">
      <c r="A310" t="s">
        <v>1190</v>
      </c>
      <c r="B310" s="4">
        <v>44283</v>
      </c>
      <c r="C310" t="s">
        <v>55</v>
      </c>
      <c r="D310" t="s">
        <v>1191</v>
      </c>
      <c r="E310" t="s">
        <v>1192</v>
      </c>
      <c r="F310" t="s">
        <v>38</v>
      </c>
      <c r="G310" t="s">
        <v>39</v>
      </c>
      <c r="H310" t="s">
        <v>1193</v>
      </c>
      <c r="I310" t="s">
        <v>715</v>
      </c>
      <c r="J310">
        <v>61604</v>
      </c>
      <c r="K310" t="s">
        <v>42</v>
      </c>
      <c r="L310" t="s">
        <v>1196</v>
      </c>
      <c r="M310" t="s">
        <v>48</v>
      </c>
      <c r="N310" t="s">
        <v>49</v>
      </c>
      <c r="O310" t="s">
        <v>1197</v>
      </c>
      <c r="P310">
        <v>7.968</v>
      </c>
      <c r="Q310">
        <v>3</v>
      </c>
      <c r="R310">
        <v>0.6</v>
      </c>
      <c r="S310">
        <v>-2.3903999999999996</v>
      </c>
    </row>
    <row r="311" spans="1:19" x14ac:dyDescent="0.25">
      <c r="A311" t="s">
        <v>1190</v>
      </c>
      <c r="B311" s="4">
        <v>44283</v>
      </c>
      <c r="C311" t="s">
        <v>55</v>
      </c>
      <c r="D311" t="s">
        <v>1191</v>
      </c>
      <c r="E311" t="s">
        <v>1192</v>
      </c>
      <c r="F311" t="s">
        <v>38</v>
      </c>
      <c r="G311" t="s">
        <v>39</v>
      </c>
      <c r="H311" t="s">
        <v>1193</v>
      </c>
      <c r="I311" t="s">
        <v>715</v>
      </c>
      <c r="J311">
        <v>61604</v>
      </c>
      <c r="K311" t="s">
        <v>42</v>
      </c>
      <c r="L311" t="s">
        <v>1198</v>
      </c>
      <c r="M311" t="s">
        <v>48</v>
      </c>
      <c r="N311" t="s">
        <v>168</v>
      </c>
      <c r="O311" t="s">
        <v>1199</v>
      </c>
      <c r="P311">
        <v>113.372</v>
      </c>
      <c r="Q311">
        <v>2</v>
      </c>
      <c r="R311">
        <v>0.3</v>
      </c>
      <c r="S311">
        <v>-3.2391999999999896</v>
      </c>
    </row>
    <row r="312" spans="1:19" x14ac:dyDescent="0.25">
      <c r="A312" t="s">
        <v>1190</v>
      </c>
      <c r="B312" s="4">
        <v>44283</v>
      </c>
      <c r="C312" t="s">
        <v>55</v>
      </c>
      <c r="D312" t="s">
        <v>1191</v>
      </c>
      <c r="E312" t="s">
        <v>1192</v>
      </c>
      <c r="F312" t="s">
        <v>38</v>
      </c>
      <c r="G312" t="s">
        <v>39</v>
      </c>
      <c r="H312" t="s">
        <v>1193</v>
      </c>
      <c r="I312" t="s">
        <v>715</v>
      </c>
      <c r="J312">
        <v>61604</v>
      </c>
      <c r="K312" t="s">
        <v>42</v>
      </c>
      <c r="L312" t="s">
        <v>533</v>
      </c>
      <c r="M312" t="s">
        <v>48</v>
      </c>
      <c r="N312" t="s">
        <v>49</v>
      </c>
      <c r="O312" t="s">
        <v>534</v>
      </c>
      <c r="P312">
        <v>2.9600000000000004</v>
      </c>
      <c r="Q312">
        <v>2</v>
      </c>
      <c r="R312">
        <v>0.6</v>
      </c>
      <c r="S312">
        <v>-1.4059999999999997</v>
      </c>
    </row>
    <row r="313" spans="1:19" x14ac:dyDescent="0.25">
      <c r="A313" t="s">
        <v>1200</v>
      </c>
      <c r="B313" s="4">
        <v>44278</v>
      </c>
      <c r="C313" t="s">
        <v>73</v>
      </c>
      <c r="D313" t="s">
        <v>1201</v>
      </c>
      <c r="E313" t="s">
        <v>1202</v>
      </c>
      <c r="F313" t="s">
        <v>38</v>
      </c>
      <c r="G313" t="s">
        <v>39</v>
      </c>
      <c r="H313" t="s">
        <v>1203</v>
      </c>
      <c r="I313" t="s">
        <v>979</v>
      </c>
      <c r="J313">
        <v>72209</v>
      </c>
      <c r="K313" t="s">
        <v>406</v>
      </c>
      <c r="L313" t="s">
        <v>1204</v>
      </c>
      <c r="M313" t="s">
        <v>44</v>
      </c>
      <c r="N313" t="s">
        <v>52</v>
      </c>
      <c r="O313" t="s">
        <v>1205</v>
      </c>
      <c r="P313">
        <v>62.04</v>
      </c>
      <c r="Q313">
        <v>4</v>
      </c>
      <c r="R313">
        <v>0</v>
      </c>
      <c r="S313">
        <v>17.371200000000002</v>
      </c>
    </row>
    <row r="314" spans="1:19" x14ac:dyDescent="0.25">
      <c r="A314" t="s">
        <v>1200</v>
      </c>
      <c r="B314" s="4">
        <v>44278</v>
      </c>
      <c r="C314" t="s">
        <v>73</v>
      </c>
      <c r="D314" t="s">
        <v>1201</v>
      </c>
      <c r="E314" t="s">
        <v>1202</v>
      </c>
      <c r="F314" t="s">
        <v>38</v>
      </c>
      <c r="G314" t="s">
        <v>39</v>
      </c>
      <c r="H314" t="s">
        <v>1203</v>
      </c>
      <c r="I314" t="s">
        <v>979</v>
      </c>
      <c r="J314">
        <v>72209</v>
      </c>
      <c r="K314" t="s">
        <v>406</v>
      </c>
      <c r="L314" t="s">
        <v>1206</v>
      </c>
      <c r="M314" t="s">
        <v>86</v>
      </c>
      <c r="N314" t="s">
        <v>87</v>
      </c>
      <c r="O314" t="s">
        <v>1207</v>
      </c>
      <c r="P314">
        <v>494.97</v>
      </c>
      <c r="Q314">
        <v>3</v>
      </c>
      <c r="R314">
        <v>0</v>
      </c>
      <c r="S314">
        <v>148.49099999999996</v>
      </c>
    </row>
    <row r="315" spans="1:19" x14ac:dyDescent="0.25">
      <c r="A315" t="s">
        <v>1200</v>
      </c>
      <c r="B315" s="4">
        <v>44278</v>
      </c>
      <c r="C315" t="s">
        <v>73</v>
      </c>
      <c r="D315" t="s">
        <v>1201</v>
      </c>
      <c r="E315" t="s">
        <v>1202</v>
      </c>
      <c r="F315" t="s">
        <v>38</v>
      </c>
      <c r="G315" t="s">
        <v>39</v>
      </c>
      <c r="H315" t="s">
        <v>1203</v>
      </c>
      <c r="I315" t="s">
        <v>979</v>
      </c>
      <c r="J315">
        <v>72209</v>
      </c>
      <c r="K315" t="s">
        <v>406</v>
      </c>
      <c r="L315" t="s">
        <v>103</v>
      </c>
      <c r="M315" t="s">
        <v>44</v>
      </c>
      <c r="N315" t="s">
        <v>52</v>
      </c>
      <c r="O315" t="s">
        <v>104</v>
      </c>
      <c r="P315">
        <v>367.96</v>
      </c>
      <c r="Q315">
        <v>4</v>
      </c>
      <c r="R315">
        <v>0</v>
      </c>
      <c r="S315">
        <v>14.718399999999974</v>
      </c>
    </row>
    <row r="316" spans="1:19" x14ac:dyDescent="0.25">
      <c r="A316" t="s">
        <v>1200</v>
      </c>
      <c r="B316" s="4">
        <v>44278</v>
      </c>
      <c r="C316" t="s">
        <v>73</v>
      </c>
      <c r="D316" t="s">
        <v>1201</v>
      </c>
      <c r="E316" t="s">
        <v>1202</v>
      </c>
      <c r="F316" t="s">
        <v>38</v>
      </c>
      <c r="G316" t="s">
        <v>39</v>
      </c>
      <c r="H316" t="s">
        <v>1203</v>
      </c>
      <c r="I316" t="s">
        <v>979</v>
      </c>
      <c r="J316">
        <v>72209</v>
      </c>
      <c r="K316" t="s">
        <v>406</v>
      </c>
      <c r="L316" t="s">
        <v>1208</v>
      </c>
      <c r="M316" t="s">
        <v>44</v>
      </c>
      <c r="N316" t="s">
        <v>152</v>
      </c>
      <c r="O316" t="s">
        <v>1209</v>
      </c>
      <c r="P316">
        <v>44.96</v>
      </c>
      <c r="Q316">
        <v>2</v>
      </c>
      <c r="R316">
        <v>0</v>
      </c>
      <c r="S316">
        <v>20.6816</v>
      </c>
    </row>
    <row r="317" spans="1:19" x14ac:dyDescent="0.25">
      <c r="A317" t="s">
        <v>1200</v>
      </c>
      <c r="B317" s="4">
        <v>44278</v>
      </c>
      <c r="C317" t="s">
        <v>73</v>
      </c>
      <c r="D317" t="s">
        <v>1201</v>
      </c>
      <c r="E317" t="s">
        <v>1202</v>
      </c>
      <c r="F317" t="s">
        <v>38</v>
      </c>
      <c r="G317" t="s">
        <v>39</v>
      </c>
      <c r="H317" t="s">
        <v>1203</v>
      </c>
      <c r="I317" t="s">
        <v>979</v>
      </c>
      <c r="J317">
        <v>72209</v>
      </c>
      <c r="K317" t="s">
        <v>406</v>
      </c>
      <c r="L317" t="s">
        <v>1210</v>
      </c>
      <c r="M317" t="s">
        <v>44</v>
      </c>
      <c r="N317" t="s">
        <v>123</v>
      </c>
      <c r="O317" t="s">
        <v>1211</v>
      </c>
      <c r="P317">
        <v>182.94</v>
      </c>
      <c r="Q317">
        <v>3</v>
      </c>
      <c r="R317">
        <v>0</v>
      </c>
      <c r="S317">
        <v>85.981799999999993</v>
      </c>
    </row>
    <row r="318" spans="1:19" x14ac:dyDescent="0.25">
      <c r="A318" t="s">
        <v>1212</v>
      </c>
      <c r="B318" s="4">
        <v>44256</v>
      </c>
      <c r="C318" t="s">
        <v>55</v>
      </c>
      <c r="D318" t="s">
        <v>1213</v>
      </c>
      <c r="E318" t="s">
        <v>1214</v>
      </c>
      <c r="F318" t="s">
        <v>38</v>
      </c>
      <c r="G318" t="s">
        <v>39</v>
      </c>
      <c r="H318" t="s">
        <v>804</v>
      </c>
      <c r="I318" t="s">
        <v>41</v>
      </c>
      <c r="J318">
        <v>78207</v>
      </c>
      <c r="K318" t="s">
        <v>42</v>
      </c>
      <c r="L318" t="s">
        <v>1215</v>
      </c>
      <c r="M318" t="s">
        <v>44</v>
      </c>
      <c r="N318" t="s">
        <v>152</v>
      </c>
      <c r="O318" t="s">
        <v>1216</v>
      </c>
      <c r="P318">
        <v>10.368000000000002</v>
      </c>
      <c r="Q318">
        <v>2</v>
      </c>
      <c r="R318">
        <v>0.2</v>
      </c>
      <c r="S318">
        <v>3.6288</v>
      </c>
    </row>
    <row r="319" spans="1:19" x14ac:dyDescent="0.25">
      <c r="A319" t="s">
        <v>1217</v>
      </c>
      <c r="B319" s="4">
        <v>44261</v>
      </c>
      <c r="C319" t="s">
        <v>73</v>
      </c>
      <c r="D319" t="s">
        <v>1218</v>
      </c>
      <c r="E319" t="s">
        <v>1219</v>
      </c>
      <c r="F319" t="s">
        <v>38</v>
      </c>
      <c r="G319" t="s">
        <v>39</v>
      </c>
      <c r="H319" t="s">
        <v>1220</v>
      </c>
      <c r="I319" t="s">
        <v>83</v>
      </c>
      <c r="J319">
        <v>94513</v>
      </c>
      <c r="K319" t="s">
        <v>84</v>
      </c>
      <c r="L319" t="s">
        <v>1221</v>
      </c>
      <c r="M319" t="s">
        <v>44</v>
      </c>
      <c r="N319" t="s">
        <v>52</v>
      </c>
      <c r="O319" t="s">
        <v>1222</v>
      </c>
      <c r="P319">
        <v>10.68</v>
      </c>
      <c r="Q319">
        <v>1</v>
      </c>
      <c r="R319">
        <v>0</v>
      </c>
      <c r="S319">
        <v>2.8836000000000004</v>
      </c>
    </row>
    <row r="320" spans="1:19" x14ac:dyDescent="0.25">
      <c r="A320" t="s">
        <v>1223</v>
      </c>
      <c r="B320" s="4">
        <v>44265</v>
      </c>
      <c r="C320" t="s">
        <v>55</v>
      </c>
      <c r="D320" t="s">
        <v>1224</v>
      </c>
      <c r="E320" t="s">
        <v>1225</v>
      </c>
      <c r="F320" t="s">
        <v>38</v>
      </c>
      <c r="G320" t="s">
        <v>39</v>
      </c>
      <c r="H320" t="s">
        <v>1226</v>
      </c>
      <c r="I320" t="s">
        <v>674</v>
      </c>
      <c r="J320">
        <v>29406</v>
      </c>
      <c r="K320" t="s">
        <v>406</v>
      </c>
      <c r="L320" t="s">
        <v>1227</v>
      </c>
      <c r="M320" t="s">
        <v>48</v>
      </c>
      <c r="N320" t="s">
        <v>49</v>
      </c>
      <c r="O320" t="s">
        <v>1228</v>
      </c>
      <c r="P320">
        <v>14.76</v>
      </c>
      <c r="Q320">
        <v>2</v>
      </c>
      <c r="R320">
        <v>0</v>
      </c>
      <c r="S320">
        <v>4.2803999999999984</v>
      </c>
    </row>
    <row r="321" spans="1:19" x14ac:dyDescent="0.25">
      <c r="A321" t="s">
        <v>1229</v>
      </c>
      <c r="B321" s="4">
        <v>44266</v>
      </c>
      <c r="C321" t="s">
        <v>35</v>
      </c>
      <c r="D321" t="s">
        <v>1230</v>
      </c>
      <c r="E321" t="s">
        <v>1231</v>
      </c>
      <c r="F321" t="s">
        <v>66</v>
      </c>
      <c r="G321" t="s">
        <v>39</v>
      </c>
      <c r="H321" t="s">
        <v>1232</v>
      </c>
      <c r="I321" t="s">
        <v>41</v>
      </c>
      <c r="J321">
        <v>79605</v>
      </c>
      <c r="K321" t="s">
        <v>42</v>
      </c>
      <c r="L321" t="s">
        <v>1233</v>
      </c>
      <c r="M321" t="s">
        <v>44</v>
      </c>
      <c r="N321" t="s">
        <v>70</v>
      </c>
      <c r="O321" t="s">
        <v>1234</v>
      </c>
      <c r="P321">
        <v>1.3919999999999997</v>
      </c>
      <c r="Q321">
        <v>2</v>
      </c>
      <c r="R321">
        <v>0.8</v>
      </c>
      <c r="S321">
        <v>-3.7584000000000009</v>
      </c>
    </row>
    <row r="322" spans="1:19" x14ac:dyDescent="0.25">
      <c r="A322" t="s">
        <v>1235</v>
      </c>
      <c r="B322" s="4">
        <v>44278</v>
      </c>
      <c r="C322" t="s">
        <v>73</v>
      </c>
      <c r="D322" t="s">
        <v>1236</v>
      </c>
      <c r="E322" t="s">
        <v>1237</v>
      </c>
      <c r="F322" t="s">
        <v>38</v>
      </c>
      <c r="G322" t="s">
        <v>39</v>
      </c>
      <c r="H322" t="s">
        <v>1238</v>
      </c>
      <c r="I322" t="s">
        <v>715</v>
      </c>
      <c r="J322">
        <v>61107</v>
      </c>
      <c r="K322" t="s">
        <v>42</v>
      </c>
      <c r="L322" t="s">
        <v>1239</v>
      </c>
      <c r="M322" t="s">
        <v>44</v>
      </c>
      <c r="N322" t="s">
        <v>45</v>
      </c>
      <c r="O322" t="s">
        <v>1240</v>
      </c>
      <c r="P322">
        <v>13.839999999999998</v>
      </c>
      <c r="Q322">
        <v>4</v>
      </c>
      <c r="R322">
        <v>0.8</v>
      </c>
      <c r="S322">
        <v>-22.144000000000005</v>
      </c>
    </row>
    <row r="323" spans="1:19" x14ac:dyDescent="0.25">
      <c r="A323" t="s">
        <v>1235</v>
      </c>
      <c r="B323" s="4">
        <v>44278</v>
      </c>
      <c r="C323" t="s">
        <v>73</v>
      </c>
      <c r="D323" t="s">
        <v>1236</v>
      </c>
      <c r="E323" t="s">
        <v>1237</v>
      </c>
      <c r="F323" t="s">
        <v>38</v>
      </c>
      <c r="G323" t="s">
        <v>39</v>
      </c>
      <c r="H323" t="s">
        <v>1238</v>
      </c>
      <c r="I323" t="s">
        <v>715</v>
      </c>
      <c r="J323">
        <v>61107</v>
      </c>
      <c r="K323" t="s">
        <v>42</v>
      </c>
      <c r="L323" t="s">
        <v>390</v>
      </c>
      <c r="M323" t="s">
        <v>44</v>
      </c>
      <c r="N323" t="s">
        <v>152</v>
      </c>
      <c r="O323" t="s">
        <v>391</v>
      </c>
      <c r="P323">
        <v>175.87200000000001</v>
      </c>
      <c r="Q323">
        <v>4</v>
      </c>
      <c r="R323">
        <v>0.2</v>
      </c>
      <c r="S323">
        <v>63.753599999999992</v>
      </c>
    </row>
    <row r="324" spans="1:19" x14ac:dyDescent="0.25">
      <c r="A324" t="s">
        <v>1241</v>
      </c>
      <c r="B324" s="4">
        <v>44264</v>
      </c>
      <c r="C324" t="s">
        <v>73</v>
      </c>
      <c r="D324" t="s">
        <v>552</v>
      </c>
      <c r="E324" t="s">
        <v>553</v>
      </c>
      <c r="F324" t="s">
        <v>218</v>
      </c>
      <c r="G324" t="s">
        <v>39</v>
      </c>
      <c r="H324" t="s">
        <v>1242</v>
      </c>
      <c r="I324" t="s">
        <v>83</v>
      </c>
      <c r="J324">
        <v>93905</v>
      </c>
      <c r="K324" t="s">
        <v>84</v>
      </c>
      <c r="L324" t="s">
        <v>1243</v>
      </c>
      <c r="M324" t="s">
        <v>48</v>
      </c>
      <c r="N324" t="s">
        <v>165</v>
      </c>
      <c r="O324" t="s">
        <v>1244</v>
      </c>
      <c r="P324">
        <v>148.25700000000001</v>
      </c>
      <c r="Q324">
        <v>3</v>
      </c>
      <c r="R324">
        <v>0.15</v>
      </c>
      <c r="S324">
        <v>15.697800000000004</v>
      </c>
    </row>
    <row r="325" spans="1:19" x14ac:dyDescent="0.25">
      <c r="A325" t="s">
        <v>1245</v>
      </c>
      <c r="B325" s="4">
        <v>44272</v>
      </c>
      <c r="C325" t="s">
        <v>55</v>
      </c>
      <c r="D325" t="s">
        <v>1246</v>
      </c>
      <c r="E325" t="s">
        <v>1247</v>
      </c>
      <c r="F325" t="s">
        <v>66</v>
      </c>
      <c r="G325" t="s">
        <v>39</v>
      </c>
      <c r="H325" t="s">
        <v>58</v>
      </c>
      <c r="I325" t="s">
        <v>59</v>
      </c>
      <c r="J325">
        <v>10009</v>
      </c>
      <c r="K325" t="s">
        <v>60</v>
      </c>
      <c r="L325" t="s">
        <v>1248</v>
      </c>
      <c r="M325" t="s">
        <v>44</v>
      </c>
      <c r="N325" t="s">
        <v>52</v>
      </c>
      <c r="O325" t="s">
        <v>1249</v>
      </c>
      <c r="P325">
        <v>166.72</v>
      </c>
      <c r="Q325">
        <v>2</v>
      </c>
      <c r="R325">
        <v>0</v>
      </c>
      <c r="S325">
        <v>41.680000000000007</v>
      </c>
    </row>
    <row r="326" spans="1:19" x14ac:dyDescent="0.25">
      <c r="A326" t="s">
        <v>1245</v>
      </c>
      <c r="B326" s="4">
        <v>44272</v>
      </c>
      <c r="C326" t="s">
        <v>55</v>
      </c>
      <c r="D326" t="s">
        <v>1246</v>
      </c>
      <c r="E326" t="s">
        <v>1247</v>
      </c>
      <c r="F326" t="s">
        <v>66</v>
      </c>
      <c r="G326" t="s">
        <v>39</v>
      </c>
      <c r="H326" t="s">
        <v>58</v>
      </c>
      <c r="I326" t="s">
        <v>59</v>
      </c>
      <c r="J326">
        <v>10009</v>
      </c>
      <c r="K326" t="s">
        <v>60</v>
      </c>
      <c r="L326" t="s">
        <v>736</v>
      </c>
      <c r="M326" t="s">
        <v>44</v>
      </c>
      <c r="N326" t="s">
        <v>45</v>
      </c>
      <c r="O326" t="s">
        <v>737</v>
      </c>
      <c r="P326">
        <v>24.816000000000003</v>
      </c>
      <c r="Q326">
        <v>3</v>
      </c>
      <c r="R326">
        <v>0.2</v>
      </c>
      <c r="S326">
        <v>8.3753999999999991</v>
      </c>
    </row>
    <row r="327" spans="1:19" x14ac:dyDescent="0.25">
      <c r="A327" t="s">
        <v>1245</v>
      </c>
      <c r="B327" s="4">
        <v>44272</v>
      </c>
      <c r="C327" t="s">
        <v>55</v>
      </c>
      <c r="D327" t="s">
        <v>1246</v>
      </c>
      <c r="E327" t="s">
        <v>1247</v>
      </c>
      <c r="F327" t="s">
        <v>66</v>
      </c>
      <c r="G327" t="s">
        <v>39</v>
      </c>
      <c r="H327" t="s">
        <v>58</v>
      </c>
      <c r="I327" t="s">
        <v>59</v>
      </c>
      <c r="J327">
        <v>10009</v>
      </c>
      <c r="K327" t="s">
        <v>60</v>
      </c>
      <c r="L327" t="s">
        <v>1250</v>
      </c>
      <c r="M327" t="s">
        <v>48</v>
      </c>
      <c r="N327" t="s">
        <v>49</v>
      </c>
      <c r="O327" t="s">
        <v>1251</v>
      </c>
      <c r="P327">
        <v>124.36</v>
      </c>
      <c r="Q327">
        <v>2</v>
      </c>
      <c r="R327">
        <v>0</v>
      </c>
      <c r="S327">
        <v>27.359200000000001</v>
      </c>
    </row>
    <row r="328" spans="1:19" x14ac:dyDescent="0.25">
      <c r="A328" t="s">
        <v>1252</v>
      </c>
      <c r="B328" s="4">
        <v>44256</v>
      </c>
      <c r="C328" t="s">
        <v>55</v>
      </c>
      <c r="D328" t="s">
        <v>1253</v>
      </c>
      <c r="E328" t="s">
        <v>1254</v>
      </c>
      <c r="F328" t="s">
        <v>66</v>
      </c>
      <c r="G328" t="s">
        <v>39</v>
      </c>
      <c r="H328" t="s">
        <v>531</v>
      </c>
      <c r="I328" t="s">
        <v>532</v>
      </c>
      <c r="J328">
        <v>98105</v>
      </c>
      <c r="K328" t="s">
        <v>84</v>
      </c>
      <c r="L328" t="s">
        <v>1255</v>
      </c>
      <c r="M328" t="s">
        <v>44</v>
      </c>
      <c r="N328" t="s">
        <v>152</v>
      </c>
      <c r="O328" t="s">
        <v>1256</v>
      </c>
      <c r="P328">
        <v>41.86</v>
      </c>
      <c r="Q328">
        <v>7</v>
      </c>
      <c r="R328">
        <v>0</v>
      </c>
      <c r="S328">
        <v>18.837</v>
      </c>
    </row>
    <row r="329" spans="1:19" x14ac:dyDescent="0.25">
      <c r="A329" t="s">
        <v>1252</v>
      </c>
      <c r="B329" s="4">
        <v>44256</v>
      </c>
      <c r="C329" t="s">
        <v>55</v>
      </c>
      <c r="D329" t="s">
        <v>1253</v>
      </c>
      <c r="E329" t="s">
        <v>1254</v>
      </c>
      <c r="F329" t="s">
        <v>66</v>
      </c>
      <c r="G329" t="s">
        <v>39</v>
      </c>
      <c r="H329" t="s">
        <v>531</v>
      </c>
      <c r="I329" t="s">
        <v>532</v>
      </c>
      <c r="J329">
        <v>98105</v>
      </c>
      <c r="K329" t="s">
        <v>84</v>
      </c>
      <c r="L329" t="s">
        <v>1257</v>
      </c>
      <c r="M329" t="s">
        <v>48</v>
      </c>
      <c r="N329" t="s">
        <v>165</v>
      </c>
      <c r="O329" t="s">
        <v>1258</v>
      </c>
      <c r="P329">
        <v>141.96</v>
      </c>
      <c r="Q329">
        <v>2</v>
      </c>
      <c r="R329">
        <v>0</v>
      </c>
      <c r="S329">
        <v>41.168399999999991</v>
      </c>
    </row>
    <row r="330" spans="1:19" x14ac:dyDescent="0.25">
      <c r="A330" t="s">
        <v>1259</v>
      </c>
      <c r="B330" s="4">
        <v>44277</v>
      </c>
      <c r="C330" t="s">
        <v>55</v>
      </c>
      <c r="D330" t="s">
        <v>1260</v>
      </c>
      <c r="E330" t="s">
        <v>1261</v>
      </c>
      <c r="F330" t="s">
        <v>218</v>
      </c>
      <c r="G330" t="s">
        <v>39</v>
      </c>
      <c r="H330" t="s">
        <v>1262</v>
      </c>
      <c r="I330" t="s">
        <v>929</v>
      </c>
      <c r="J330">
        <v>35401</v>
      </c>
      <c r="K330" t="s">
        <v>406</v>
      </c>
      <c r="L330" t="s">
        <v>1263</v>
      </c>
      <c r="M330" t="s">
        <v>48</v>
      </c>
      <c r="N330" t="s">
        <v>168</v>
      </c>
      <c r="O330" t="s">
        <v>1264</v>
      </c>
      <c r="P330">
        <v>141.96</v>
      </c>
      <c r="Q330">
        <v>2</v>
      </c>
      <c r="R330">
        <v>0</v>
      </c>
      <c r="S330">
        <v>35.490000000000009</v>
      </c>
    </row>
    <row r="331" spans="1:19" x14ac:dyDescent="0.25">
      <c r="A331" t="s">
        <v>1265</v>
      </c>
      <c r="B331" s="4">
        <v>44277</v>
      </c>
      <c r="C331" t="s">
        <v>73</v>
      </c>
      <c r="D331" t="s">
        <v>870</v>
      </c>
      <c r="E331" t="s">
        <v>871</v>
      </c>
      <c r="F331" t="s">
        <v>66</v>
      </c>
      <c r="G331" t="s">
        <v>39</v>
      </c>
      <c r="H331" t="s">
        <v>1266</v>
      </c>
      <c r="I331" t="s">
        <v>971</v>
      </c>
      <c r="J331">
        <v>85204</v>
      </c>
      <c r="K331" t="s">
        <v>84</v>
      </c>
      <c r="L331" t="s">
        <v>1267</v>
      </c>
      <c r="M331" t="s">
        <v>48</v>
      </c>
      <c r="N331" t="s">
        <v>155</v>
      </c>
      <c r="O331" t="s">
        <v>1268</v>
      </c>
      <c r="P331">
        <v>182.55</v>
      </c>
      <c r="Q331">
        <v>2</v>
      </c>
      <c r="R331">
        <v>0.5</v>
      </c>
      <c r="S331">
        <v>-135.08699999999999</v>
      </c>
    </row>
    <row r="332" spans="1:19" x14ac:dyDescent="0.25">
      <c r="A332" t="s">
        <v>1269</v>
      </c>
      <c r="B332" s="4">
        <v>44259</v>
      </c>
      <c r="C332" t="s">
        <v>55</v>
      </c>
      <c r="D332" t="s">
        <v>1270</v>
      </c>
      <c r="E332" t="s">
        <v>1271</v>
      </c>
      <c r="F332" t="s">
        <v>66</v>
      </c>
      <c r="G332" t="s">
        <v>39</v>
      </c>
      <c r="H332" t="s">
        <v>846</v>
      </c>
      <c r="I332" t="s">
        <v>847</v>
      </c>
      <c r="J332">
        <v>37211</v>
      </c>
      <c r="K332" t="s">
        <v>406</v>
      </c>
      <c r="L332" t="s">
        <v>1272</v>
      </c>
      <c r="M332" t="s">
        <v>86</v>
      </c>
      <c r="N332" t="s">
        <v>823</v>
      </c>
      <c r="O332" t="s">
        <v>1273</v>
      </c>
      <c r="P332">
        <v>649</v>
      </c>
      <c r="Q332">
        <v>2</v>
      </c>
      <c r="R332">
        <v>0.5</v>
      </c>
      <c r="S332">
        <v>-272.58000000000015</v>
      </c>
    </row>
    <row r="333" spans="1:19" x14ac:dyDescent="0.25">
      <c r="A333" t="s">
        <v>1274</v>
      </c>
      <c r="B333" s="4">
        <v>44260</v>
      </c>
      <c r="C333" t="s">
        <v>35</v>
      </c>
      <c r="D333" t="s">
        <v>1275</v>
      </c>
      <c r="E333" t="s">
        <v>1276</v>
      </c>
      <c r="F333" t="s">
        <v>66</v>
      </c>
      <c r="G333" t="s">
        <v>39</v>
      </c>
      <c r="H333" t="s">
        <v>58</v>
      </c>
      <c r="I333" t="s">
        <v>59</v>
      </c>
      <c r="J333">
        <v>10024</v>
      </c>
      <c r="K333" t="s">
        <v>60</v>
      </c>
      <c r="L333" t="s">
        <v>61</v>
      </c>
      <c r="M333" t="s">
        <v>48</v>
      </c>
      <c r="N333" t="s">
        <v>49</v>
      </c>
      <c r="O333" t="s">
        <v>62</v>
      </c>
      <c r="P333">
        <v>41.96</v>
      </c>
      <c r="Q333">
        <v>2</v>
      </c>
      <c r="R333">
        <v>0</v>
      </c>
      <c r="S333">
        <v>10.909600000000001</v>
      </c>
    </row>
    <row r="334" spans="1:19" x14ac:dyDescent="0.25">
      <c r="A334" t="s">
        <v>1274</v>
      </c>
      <c r="B334" s="4">
        <v>44260</v>
      </c>
      <c r="C334" t="s">
        <v>35</v>
      </c>
      <c r="D334" t="s">
        <v>1275</v>
      </c>
      <c r="E334" t="s">
        <v>1276</v>
      </c>
      <c r="F334" t="s">
        <v>66</v>
      </c>
      <c r="G334" t="s">
        <v>39</v>
      </c>
      <c r="H334" t="s">
        <v>58</v>
      </c>
      <c r="I334" t="s">
        <v>59</v>
      </c>
      <c r="J334">
        <v>10024</v>
      </c>
      <c r="K334" t="s">
        <v>60</v>
      </c>
      <c r="L334" t="s">
        <v>159</v>
      </c>
      <c r="M334" t="s">
        <v>44</v>
      </c>
      <c r="N334" t="s">
        <v>160</v>
      </c>
      <c r="O334" t="s">
        <v>161</v>
      </c>
      <c r="P334">
        <v>9.4499999999999993</v>
      </c>
      <c r="Q334">
        <v>3</v>
      </c>
      <c r="R334">
        <v>0</v>
      </c>
      <c r="S334">
        <v>4.5359999999999996</v>
      </c>
    </row>
    <row r="335" spans="1:19" x14ac:dyDescent="0.25">
      <c r="A335" t="s">
        <v>1277</v>
      </c>
      <c r="B335" s="4">
        <v>44266</v>
      </c>
      <c r="C335" t="s">
        <v>55</v>
      </c>
      <c r="D335" t="s">
        <v>648</v>
      </c>
      <c r="E335" t="s">
        <v>649</v>
      </c>
      <c r="F335" t="s">
        <v>38</v>
      </c>
      <c r="G335" t="s">
        <v>39</v>
      </c>
      <c r="H335" t="s">
        <v>743</v>
      </c>
      <c r="I335" t="s">
        <v>405</v>
      </c>
      <c r="J335">
        <v>32216</v>
      </c>
      <c r="K335" t="s">
        <v>406</v>
      </c>
      <c r="L335" t="s">
        <v>1278</v>
      </c>
      <c r="M335" t="s">
        <v>48</v>
      </c>
      <c r="N335" t="s">
        <v>155</v>
      </c>
      <c r="O335" t="s">
        <v>1279</v>
      </c>
      <c r="P335">
        <v>721.87500000000011</v>
      </c>
      <c r="Q335">
        <v>6</v>
      </c>
      <c r="R335">
        <v>0.45</v>
      </c>
      <c r="S335">
        <v>-420</v>
      </c>
    </row>
    <row r="336" spans="1:19" x14ac:dyDescent="0.25">
      <c r="A336" t="s">
        <v>1277</v>
      </c>
      <c r="B336" s="4">
        <v>44266</v>
      </c>
      <c r="C336" t="s">
        <v>55</v>
      </c>
      <c r="D336" t="s">
        <v>648</v>
      </c>
      <c r="E336" t="s">
        <v>649</v>
      </c>
      <c r="F336" t="s">
        <v>38</v>
      </c>
      <c r="G336" t="s">
        <v>39</v>
      </c>
      <c r="H336" t="s">
        <v>743</v>
      </c>
      <c r="I336" t="s">
        <v>405</v>
      </c>
      <c r="J336">
        <v>32216</v>
      </c>
      <c r="K336" t="s">
        <v>406</v>
      </c>
      <c r="L336" t="s">
        <v>1280</v>
      </c>
      <c r="M336" t="s">
        <v>86</v>
      </c>
      <c r="N336" t="s">
        <v>87</v>
      </c>
      <c r="O336" t="s">
        <v>1281</v>
      </c>
      <c r="P336">
        <v>73.567999999999998</v>
      </c>
      <c r="Q336">
        <v>4</v>
      </c>
      <c r="R336">
        <v>0.2</v>
      </c>
      <c r="S336">
        <v>-16.552799999999994</v>
      </c>
    </row>
    <row r="337" spans="1:19" x14ac:dyDescent="0.25">
      <c r="A337" t="s">
        <v>1277</v>
      </c>
      <c r="B337" s="4">
        <v>44266</v>
      </c>
      <c r="C337" t="s">
        <v>55</v>
      </c>
      <c r="D337" t="s">
        <v>648</v>
      </c>
      <c r="E337" t="s">
        <v>649</v>
      </c>
      <c r="F337" t="s">
        <v>38</v>
      </c>
      <c r="G337" t="s">
        <v>39</v>
      </c>
      <c r="H337" t="s">
        <v>743</v>
      </c>
      <c r="I337" t="s">
        <v>405</v>
      </c>
      <c r="J337">
        <v>32216</v>
      </c>
      <c r="K337" t="s">
        <v>406</v>
      </c>
      <c r="L337" t="s">
        <v>256</v>
      </c>
      <c r="M337" t="s">
        <v>44</v>
      </c>
      <c r="N337" t="s">
        <v>175</v>
      </c>
      <c r="O337" t="s">
        <v>257</v>
      </c>
      <c r="P337">
        <v>13.584000000000001</v>
      </c>
      <c r="Q337">
        <v>1</v>
      </c>
      <c r="R337">
        <v>0.2</v>
      </c>
      <c r="S337">
        <v>1.3584000000000001</v>
      </c>
    </row>
    <row r="338" spans="1:19" x14ac:dyDescent="0.25">
      <c r="A338" t="s">
        <v>1277</v>
      </c>
      <c r="B338" s="4">
        <v>44266</v>
      </c>
      <c r="C338" t="s">
        <v>55</v>
      </c>
      <c r="D338" t="s">
        <v>648</v>
      </c>
      <c r="E338" t="s">
        <v>649</v>
      </c>
      <c r="F338" t="s">
        <v>38</v>
      </c>
      <c r="G338" t="s">
        <v>39</v>
      </c>
      <c r="H338" t="s">
        <v>743</v>
      </c>
      <c r="I338" t="s">
        <v>405</v>
      </c>
      <c r="J338">
        <v>32216</v>
      </c>
      <c r="K338" t="s">
        <v>406</v>
      </c>
      <c r="L338" t="s">
        <v>1282</v>
      </c>
      <c r="M338" t="s">
        <v>48</v>
      </c>
      <c r="N338" t="s">
        <v>168</v>
      </c>
      <c r="O338" t="s">
        <v>1283</v>
      </c>
      <c r="P338">
        <v>64.784000000000006</v>
      </c>
      <c r="Q338">
        <v>1</v>
      </c>
      <c r="R338">
        <v>0.2</v>
      </c>
      <c r="S338">
        <v>-12.147000000000009</v>
      </c>
    </row>
    <row r="339" spans="1:19" x14ac:dyDescent="0.25">
      <c r="A339" t="s">
        <v>1284</v>
      </c>
      <c r="B339" s="4">
        <v>44259</v>
      </c>
      <c r="C339" t="s">
        <v>73</v>
      </c>
      <c r="D339" t="s">
        <v>1285</v>
      </c>
      <c r="E339" t="s">
        <v>1286</v>
      </c>
      <c r="F339" t="s">
        <v>66</v>
      </c>
      <c r="G339" t="s">
        <v>39</v>
      </c>
      <c r="H339" t="s">
        <v>315</v>
      </c>
      <c r="I339" t="s">
        <v>119</v>
      </c>
      <c r="J339">
        <v>45014</v>
      </c>
      <c r="K339" t="s">
        <v>60</v>
      </c>
      <c r="L339" t="s">
        <v>1287</v>
      </c>
      <c r="M339" t="s">
        <v>44</v>
      </c>
      <c r="N339" t="s">
        <v>152</v>
      </c>
      <c r="O339" t="s">
        <v>1288</v>
      </c>
      <c r="P339">
        <v>74.352000000000004</v>
      </c>
      <c r="Q339">
        <v>3</v>
      </c>
      <c r="R339">
        <v>0.2</v>
      </c>
      <c r="S339">
        <v>23.234999999999992</v>
      </c>
    </row>
    <row r="340" spans="1:19" x14ac:dyDescent="0.25">
      <c r="A340" t="s">
        <v>1289</v>
      </c>
      <c r="B340" s="4">
        <v>44283</v>
      </c>
      <c r="C340" t="s">
        <v>55</v>
      </c>
      <c r="D340" t="s">
        <v>1290</v>
      </c>
      <c r="E340" t="s">
        <v>1291</v>
      </c>
      <c r="F340" t="s">
        <v>218</v>
      </c>
      <c r="G340" t="s">
        <v>39</v>
      </c>
      <c r="H340" t="s">
        <v>1292</v>
      </c>
      <c r="I340" t="s">
        <v>1293</v>
      </c>
      <c r="J340">
        <v>58103</v>
      </c>
      <c r="K340" t="s">
        <v>42</v>
      </c>
      <c r="L340" t="s">
        <v>1294</v>
      </c>
      <c r="M340" t="s">
        <v>44</v>
      </c>
      <c r="N340" t="s">
        <v>175</v>
      </c>
      <c r="O340" t="s">
        <v>305</v>
      </c>
      <c r="P340">
        <v>2.48</v>
      </c>
      <c r="Q340">
        <v>1</v>
      </c>
      <c r="R340">
        <v>0</v>
      </c>
      <c r="S340">
        <v>0.86799999999999988</v>
      </c>
    </row>
    <row r="341" spans="1:19" x14ac:dyDescent="0.25">
      <c r="A341" t="s">
        <v>1289</v>
      </c>
      <c r="B341" s="4">
        <v>44283</v>
      </c>
      <c r="C341" t="s">
        <v>55</v>
      </c>
      <c r="D341" t="s">
        <v>1290</v>
      </c>
      <c r="E341" t="s">
        <v>1291</v>
      </c>
      <c r="F341" t="s">
        <v>218</v>
      </c>
      <c r="G341" t="s">
        <v>39</v>
      </c>
      <c r="H341" t="s">
        <v>1292</v>
      </c>
      <c r="I341" t="s">
        <v>1293</v>
      </c>
      <c r="J341">
        <v>58103</v>
      </c>
      <c r="K341" t="s">
        <v>42</v>
      </c>
      <c r="L341" t="s">
        <v>1295</v>
      </c>
      <c r="M341" t="s">
        <v>44</v>
      </c>
      <c r="N341" t="s">
        <v>45</v>
      </c>
      <c r="O341" t="s">
        <v>1296</v>
      </c>
      <c r="P341">
        <v>25.9</v>
      </c>
      <c r="Q341">
        <v>5</v>
      </c>
      <c r="R341">
        <v>0</v>
      </c>
      <c r="S341">
        <v>12.690999999999999</v>
      </c>
    </row>
    <row r="342" spans="1:19" x14ac:dyDescent="0.25">
      <c r="A342" t="s">
        <v>1297</v>
      </c>
      <c r="B342" s="4">
        <v>44264</v>
      </c>
      <c r="C342" t="s">
        <v>73</v>
      </c>
      <c r="D342" t="s">
        <v>1298</v>
      </c>
      <c r="E342" t="s">
        <v>1299</v>
      </c>
      <c r="F342" t="s">
        <v>66</v>
      </c>
      <c r="G342" t="s">
        <v>39</v>
      </c>
      <c r="H342" t="s">
        <v>862</v>
      </c>
      <c r="I342" t="s">
        <v>450</v>
      </c>
      <c r="J342">
        <v>40475</v>
      </c>
      <c r="K342" t="s">
        <v>406</v>
      </c>
      <c r="L342" t="s">
        <v>1300</v>
      </c>
      <c r="M342" t="s">
        <v>44</v>
      </c>
      <c r="N342" t="s">
        <v>45</v>
      </c>
      <c r="O342" t="s">
        <v>1301</v>
      </c>
      <c r="P342">
        <v>29.36</v>
      </c>
      <c r="Q342">
        <v>2</v>
      </c>
      <c r="R342">
        <v>0</v>
      </c>
      <c r="S342">
        <v>13.505599999999999</v>
      </c>
    </row>
    <row r="343" spans="1:19" x14ac:dyDescent="0.25">
      <c r="A343" t="s">
        <v>1297</v>
      </c>
      <c r="B343" s="4">
        <v>44264</v>
      </c>
      <c r="C343" t="s">
        <v>73</v>
      </c>
      <c r="D343" t="s">
        <v>1298</v>
      </c>
      <c r="E343" t="s">
        <v>1299</v>
      </c>
      <c r="F343" t="s">
        <v>66</v>
      </c>
      <c r="G343" t="s">
        <v>39</v>
      </c>
      <c r="H343" t="s">
        <v>862</v>
      </c>
      <c r="I343" t="s">
        <v>450</v>
      </c>
      <c r="J343">
        <v>40475</v>
      </c>
      <c r="K343" t="s">
        <v>406</v>
      </c>
      <c r="L343" t="s">
        <v>1302</v>
      </c>
      <c r="M343" t="s">
        <v>44</v>
      </c>
      <c r="N343" t="s">
        <v>70</v>
      </c>
      <c r="O343" t="s">
        <v>1303</v>
      </c>
      <c r="P343">
        <v>214.89999999999998</v>
      </c>
      <c r="Q343">
        <v>5</v>
      </c>
      <c r="R343">
        <v>0</v>
      </c>
      <c r="S343">
        <v>62.32099999999997</v>
      </c>
    </row>
    <row r="344" spans="1:19" x14ac:dyDescent="0.25">
      <c r="A344" t="s">
        <v>1297</v>
      </c>
      <c r="B344" s="4">
        <v>44264</v>
      </c>
      <c r="C344" t="s">
        <v>73</v>
      </c>
      <c r="D344" t="s">
        <v>1298</v>
      </c>
      <c r="E344" t="s">
        <v>1299</v>
      </c>
      <c r="F344" t="s">
        <v>66</v>
      </c>
      <c r="G344" t="s">
        <v>39</v>
      </c>
      <c r="H344" t="s">
        <v>862</v>
      </c>
      <c r="I344" t="s">
        <v>450</v>
      </c>
      <c r="J344">
        <v>40475</v>
      </c>
      <c r="K344" t="s">
        <v>406</v>
      </c>
      <c r="L344" t="s">
        <v>98</v>
      </c>
      <c r="M344" t="s">
        <v>44</v>
      </c>
      <c r="N344" t="s">
        <v>45</v>
      </c>
      <c r="O344" t="s">
        <v>99</v>
      </c>
      <c r="P344">
        <v>15.92</v>
      </c>
      <c r="Q344">
        <v>4</v>
      </c>
      <c r="R344">
        <v>0</v>
      </c>
      <c r="S344">
        <v>7.4824000000000002</v>
      </c>
    </row>
    <row r="345" spans="1:19" x14ac:dyDescent="0.25">
      <c r="A345" t="s">
        <v>1297</v>
      </c>
      <c r="B345" s="4">
        <v>44264</v>
      </c>
      <c r="C345" t="s">
        <v>73</v>
      </c>
      <c r="D345" t="s">
        <v>1298</v>
      </c>
      <c r="E345" t="s">
        <v>1299</v>
      </c>
      <c r="F345" t="s">
        <v>66</v>
      </c>
      <c r="G345" t="s">
        <v>39</v>
      </c>
      <c r="H345" t="s">
        <v>862</v>
      </c>
      <c r="I345" t="s">
        <v>450</v>
      </c>
      <c r="J345">
        <v>40475</v>
      </c>
      <c r="K345" t="s">
        <v>406</v>
      </c>
      <c r="L345" t="s">
        <v>478</v>
      </c>
      <c r="M345" t="s">
        <v>86</v>
      </c>
      <c r="N345" t="s">
        <v>109</v>
      </c>
      <c r="O345" t="s">
        <v>479</v>
      </c>
      <c r="P345">
        <v>146.44999999999999</v>
      </c>
      <c r="Q345">
        <v>5</v>
      </c>
      <c r="R345">
        <v>0</v>
      </c>
      <c r="S345">
        <v>48.328499999999991</v>
      </c>
    </row>
    <row r="346" spans="1:19" x14ac:dyDescent="0.25">
      <c r="A346" t="s">
        <v>1297</v>
      </c>
      <c r="B346" s="4">
        <v>44264</v>
      </c>
      <c r="C346" t="s">
        <v>73</v>
      </c>
      <c r="D346" t="s">
        <v>1298</v>
      </c>
      <c r="E346" t="s">
        <v>1299</v>
      </c>
      <c r="F346" t="s">
        <v>66</v>
      </c>
      <c r="G346" t="s">
        <v>39</v>
      </c>
      <c r="H346" t="s">
        <v>862</v>
      </c>
      <c r="I346" t="s">
        <v>450</v>
      </c>
      <c r="J346">
        <v>40475</v>
      </c>
      <c r="K346" t="s">
        <v>406</v>
      </c>
      <c r="L346" t="s">
        <v>1304</v>
      </c>
      <c r="M346" t="s">
        <v>44</v>
      </c>
      <c r="N346" t="s">
        <v>52</v>
      </c>
      <c r="O346" t="s">
        <v>1305</v>
      </c>
      <c r="P346">
        <v>15.14</v>
      </c>
      <c r="Q346">
        <v>1</v>
      </c>
      <c r="R346">
        <v>0</v>
      </c>
      <c r="S346">
        <v>0.60559999999999903</v>
      </c>
    </row>
    <row r="347" spans="1:19" x14ac:dyDescent="0.25">
      <c r="A347" t="s">
        <v>1297</v>
      </c>
      <c r="B347" s="4">
        <v>44264</v>
      </c>
      <c r="C347" t="s">
        <v>73</v>
      </c>
      <c r="D347" t="s">
        <v>1298</v>
      </c>
      <c r="E347" t="s">
        <v>1299</v>
      </c>
      <c r="F347" t="s">
        <v>66</v>
      </c>
      <c r="G347" t="s">
        <v>39</v>
      </c>
      <c r="H347" t="s">
        <v>862</v>
      </c>
      <c r="I347" t="s">
        <v>450</v>
      </c>
      <c r="J347">
        <v>40475</v>
      </c>
      <c r="K347" t="s">
        <v>406</v>
      </c>
      <c r="L347" t="s">
        <v>1306</v>
      </c>
      <c r="M347" t="s">
        <v>44</v>
      </c>
      <c r="N347" t="s">
        <v>160</v>
      </c>
      <c r="O347" t="s">
        <v>1307</v>
      </c>
      <c r="P347">
        <v>5.76</v>
      </c>
      <c r="Q347">
        <v>2</v>
      </c>
      <c r="R347">
        <v>0</v>
      </c>
      <c r="S347">
        <v>2.6495999999999995</v>
      </c>
    </row>
    <row r="348" spans="1:19" x14ac:dyDescent="0.25">
      <c r="A348" t="s">
        <v>1297</v>
      </c>
      <c r="B348" s="4">
        <v>44264</v>
      </c>
      <c r="C348" t="s">
        <v>73</v>
      </c>
      <c r="D348" t="s">
        <v>1298</v>
      </c>
      <c r="E348" t="s">
        <v>1299</v>
      </c>
      <c r="F348" t="s">
        <v>66</v>
      </c>
      <c r="G348" t="s">
        <v>39</v>
      </c>
      <c r="H348" t="s">
        <v>862</v>
      </c>
      <c r="I348" t="s">
        <v>450</v>
      </c>
      <c r="J348">
        <v>40475</v>
      </c>
      <c r="K348" t="s">
        <v>406</v>
      </c>
      <c r="L348" t="s">
        <v>1308</v>
      </c>
      <c r="M348" t="s">
        <v>86</v>
      </c>
      <c r="N348" t="s">
        <v>149</v>
      </c>
      <c r="O348" t="s">
        <v>1309</v>
      </c>
      <c r="P348">
        <v>1399.98</v>
      </c>
      <c r="Q348">
        <v>2</v>
      </c>
      <c r="R348">
        <v>0</v>
      </c>
      <c r="S348">
        <v>629.99099999999999</v>
      </c>
    </row>
    <row r="349" spans="1:19" x14ac:dyDescent="0.25">
      <c r="A349" t="s">
        <v>1310</v>
      </c>
      <c r="B349" s="4">
        <v>44258</v>
      </c>
      <c r="C349" t="s">
        <v>55</v>
      </c>
      <c r="D349" t="s">
        <v>1311</v>
      </c>
      <c r="E349" t="s">
        <v>1312</v>
      </c>
      <c r="F349" t="s">
        <v>66</v>
      </c>
      <c r="G349" t="s">
        <v>39</v>
      </c>
      <c r="H349" t="s">
        <v>40</v>
      </c>
      <c r="I349" t="s">
        <v>41</v>
      </c>
      <c r="J349">
        <v>77041</v>
      </c>
      <c r="K349" t="s">
        <v>42</v>
      </c>
      <c r="L349" t="s">
        <v>1313</v>
      </c>
      <c r="M349" t="s">
        <v>48</v>
      </c>
      <c r="N349" t="s">
        <v>49</v>
      </c>
      <c r="O349" t="s">
        <v>1314</v>
      </c>
      <c r="P349">
        <v>13.591999999999999</v>
      </c>
      <c r="Q349">
        <v>2</v>
      </c>
      <c r="R349">
        <v>0.6</v>
      </c>
      <c r="S349">
        <v>-14.271599999999999</v>
      </c>
    </row>
    <row r="350" spans="1:19" x14ac:dyDescent="0.25">
      <c r="A350" t="s">
        <v>1315</v>
      </c>
      <c r="B350" s="4">
        <v>44257</v>
      </c>
      <c r="C350" t="s">
        <v>55</v>
      </c>
      <c r="D350" t="s">
        <v>1316</v>
      </c>
      <c r="E350" t="s">
        <v>1317</v>
      </c>
      <c r="F350" t="s">
        <v>38</v>
      </c>
      <c r="G350" t="s">
        <v>39</v>
      </c>
      <c r="H350" t="s">
        <v>198</v>
      </c>
      <c r="I350" t="s">
        <v>199</v>
      </c>
      <c r="J350">
        <v>80219</v>
      </c>
      <c r="K350" t="s">
        <v>84</v>
      </c>
      <c r="L350" t="s">
        <v>370</v>
      </c>
      <c r="M350" t="s">
        <v>44</v>
      </c>
      <c r="N350" t="s">
        <v>52</v>
      </c>
      <c r="O350" t="s">
        <v>371</v>
      </c>
      <c r="P350">
        <v>114.28800000000001</v>
      </c>
      <c r="Q350">
        <v>1</v>
      </c>
      <c r="R350">
        <v>0.2</v>
      </c>
      <c r="S350">
        <v>12.857399999999984</v>
      </c>
    </row>
    <row r="351" spans="1:19" x14ac:dyDescent="0.25">
      <c r="A351" t="s">
        <v>1315</v>
      </c>
      <c r="B351" s="4">
        <v>44257</v>
      </c>
      <c r="C351" t="s">
        <v>55</v>
      </c>
      <c r="D351" t="s">
        <v>1316</v>
      </c>
      <c r="E351" t="s">
        <v>1317</v>
      </c>
      <c r="F351" t="s">
        <v>38</v>
      </c>
      <c r="G351" t="s">
        <v>39</v>
      </c>
      <c r="H351" t="s">
        <v>198</v>
      </c>
      <c r="I351" t="s">
        <v>199</v>
      </c>
      <c r="J351">
        <v>80219</v>
      </c>
      <c r="K351" t="s">
        <v>84</v>
      </c>
      <c r="L351" t="s">
        <v>1318</v>
      </c>
      <c r="M351" t="s">
        <v>44</v>
      </c>
      <c r="N351" t="s">
        <v>45</v>
      </c>
      <c r="O351" t="s">
        <v>1319</v>
      </c>
      <c r="P351">
        <v>36.624000000000002</v>
      </c>
      <c r="Q351">
        <v>8</v>
      </c>
      <c r="R351">
        <v>0.7</v>
      </c>
      <c r="S351">
        <v>-24.41599999999999</v>
      </c>
    </row>
    <row r="352" spans="1:19" x14ac:dyDescent="0.25">
      <c r="A352" t="s">
        <v>1315</v>
      </c>
      <c r="B352" s="4">
        <v>44257</v>
      </c>
      <c r="C352" t="s">
        <v>55</v>
      </c>
      <c r="D352" t="s">
        <v>1316</v>
      </c>
      <c r="E352" t="s">
        <v>1317</v>
      </c>
      <c r="F352" t="s">
        <v>38</v>
      </c>
      <c r="G352" t="s">
        <v>39</v>
      </c>
      <c r="H352" t="s">
        <v>198</v>
      </c>
      <c r="I352" t="s">
        <v>199</v>
      </c>
      <c r="J352">
        <v>80219</v>
      </c>
      <c r="K352" t="s">
        <v>84</v>
      </c>
      <c r="L352" t="s">
        <v>1320</v>
      </c>
      <c r="M352" t="s">
        <v>48</v>
      </c>
      <c r="N352" t="s">
        <v>165</v>
      </c>
      <c r="O352" t="s">
        <v>1321</v>
      </c>
      <c r="P352">
        <v>242.35200000000003</v>
      </c>
      <c r="Q352">
        <v>8</v>
      </c>
      <c r="R352">
        <v>0.7</v>
      </c>
      <c r="S352">
        <v>-363.52799999999991</v>
      </c>
    </row>
    <row r="353" spans="1:19" x14ac:dyDescent="0.25">
      <c r="A353" t="s">
        <v>1315</v>
      </c>
      <c r="B353" s="4">
        <v>44257</v>
      </c>
      <c r="C353" t="s">
        <v>55</v>
      </c>
      <c r="D353" t="s">
        <v>1316</v>
      </c>
      <c r="E353" t="s">
        <v>1317</v>
      </c>
      <c r="F353" t="s">
        <v>38</v>
      </c>
      <c r="G353" t="s">
        <v>39</v>
      </c>
      <c r="H353" t="s">
        <v>198</v>
      </c>
      <c r="I353" t="s">
        <v>199</v>
      </c>
      <c r="J353">
        <v>80219</v>
      </c>
      <c r="K353" t="s">
        <v>84</v>
      </c>
      <c r="L353" t="s">
        <v>1322</v>
      </c>
      <c r="M353" t="s">
        <v>86</v>
      </c>
      <c r="N353" t="s">
        <v>87</v>
      </c>
      <c r="O353" t="s">
        <v>1323</v>
      </c>
      <c r="P353">
        <v>49.616000000000007</v>
      </c>
      <c r="Q353">
        <v>2</v>
      </c>
      <c r="R353">
        <v>0.2</v>
      </c>
      <c r="S353">
        <v>4.9615999999999989</v>
      </c>
    </row>
    <row r="354" spans="1:19" x14ac:dyDescent="0.25">
      <c r="A354" t="s">
        <v>1315</v>
      </c>
      <c r="B354" s="4">
        <v>44257</v>
      </c>
      <c r="C354" t="s">
        <v>55</v>
      </c>
      <c r="D354" t="s">
        <v>1316</v>
      </c>
      <c r="E354" t="s">
        <v>1317</v>
      </c>
      <c r="F354" t="s">
        <v>38</v>
      </c>
      <c r="G354" t="s">
        <v>39</v>
      </c>
      <c r="H354" t="s">
        <v>198</v>
      </c>
      <c r="I354" t="s">
        <v>199</v>
      </c>
      <c r="J354">
        <v>80219</v>
      </c>
      <c r="K354" t="s">
        <v>84</v>
      </c>
      <c r="L354" t="s">
        <v>1324</v>
      </c>
      <c r="M354" t="s">
        <v>48</v>
      </c>
      <c r="N354" t="s">
        <v>49</v>
      </c>
      <c r="O354" t="s">
        <v>1325</v>
      </c>
      <c r="P354">
        <v>508.70400000000006</v>
      </c>
      <c r="Q354">
        <v>6</v>
      </c>
      <c r="R354">
        <v>0.2</v>
      </c>
      <c r="S354">
        <v>0</v>
      </c>
    </row>
    <row r="355" spans="1:19" x14ac:dyDescent="0.25">
      <c r="A355" t="s">
        <v>1315</v>
      </c>
      <c r="B355" s="4">
        <v>44257</v>
      </c>
      <c r="C355" t="s">
        <v>55</v>
      </c>
      <c r="D355" t="s">
        <v>1316</v>
      </c>
      <c r="E355" t="s">
        <v>1317</v>
      </c>
      <c r="F355" t="s">
        <v>38</v>
      </c>
      <c r="G355" t="s">
        <v>39</v>
      </c>
      <c r="H355" t="s">
        <v>198</v>
      </c>
      <c r="I355" t="s">
        <v>199</v>
      </c>
      <c r="J355">
        <v>80219</v>
      </c>
      <c r="K355" t="s">
        <v>84</v>
      </c>
      <c r="L355" t="s">
        <v>1326</v>
      </c>
      <c r="M355" t="s">
        <v>86</v>
      </c>
      <c r="N355" t="s">
        <v>87</v>
      </c>
      <c r="O355" t="s">
        <v>1327</v>
      </c>
      <c r="P355">
        <v>57.36</v>
      </c>
      <c r="Q355">
        <v>6</v>
      </c>
      <c r="R355">
        <v>0.2</v>
      </c>
      <c r="S355">
        <v>-14.34</v>
      </c>
    </row>
    <row r="356" spans="1:19" x14ac:dyDescent="0.25">
      <c r="A356" t="s">
        <v>1315</v>
      </c>
      <c r="B356" s="4">
        <v>44257</v>
      </c>
      <c r="C356" t="s">
        <v>55</v>
      </c>
      <c r="D356" t="s">
        <v>1316</v>
      </c>
      <c r="E356" t="s">
        <v>1317</v>
      </c>
      <c r="F356" t="s">
        <v>38</v>
      </c>
      <c r="G356" t="s">
        <v>39</v>
      </c>
      <c r="H356" t="s">
        <v>198</v>
      </c>
      <c r="I356" t="s">
        <v>199</v>
      </c>
      <c r="J356">
        <v>80219</v>
      </c>
      <c r="K356" t="s">
        <v>84</v>
      </c>
      <c r="L356" t="s">
        <v>460</v>
      </c>
      <c r="M356" t="s">
        <v>48</v>
      </c>
      <c r="N356" t="s">
        <v>168</v>
      </c>
      <c r="O356" t="s">
        <v>461</v>
      </c>
      <c r="P356">
        <v>906.68000000000006</v>
      </c>
      <c r="Q356">
        <v>5</v>
      </c>
      <c r="R356">
        <v>0.2</v>
      </c>
      <c r="S356">
        <v>68.001000000000033</v>
      </c>
    </row>
    <row r="357" spans="1:19" x14ac:dyDescent="0.25">
      <c r="A357" t="s">
        <v>1328</v>
      </c>
      <c r="B357" s="4">
        <v>44279</v>
      </c>
      <c r="C357" t="s">
        <v>35</v>
      </c>
      <c r="D357" t="s">
        <v>1329</v>
      </c>
      <c r="E357" t="s">
        <v>1330</v>
      </c>
      <c r="F357" t="s">
        <v>66</v>
      </c>
      <c r="G357" t="s">
        <v>39</v>
      </c>
      <c r="H357" t="s">
        <v>76</v>
      </c>
      <c r="I357" t="s">
        <v>41</v>
      </c>
      <c r="J357">
        <v>75220</v>
      </c>
      <c r="K357" t="s">
        <v>42</v>
      </c>
      <c r="L357" t="s">
        <v>1331</v>
      </c>
      <c r="M357" t="s">
        <v>44</v>
      </c>
      <c r="N357" t="s">
        <v>52</v>
      </c>
      <c r="O357" t="s">
        <v>1332</v>
      </c>
      <c r="P357">
        <v>264.32</v>
      </c>
      <c r="Q357">
        <v>2</v>
      </c>
      <c r="R357">
        <v>0.2</v>
      </c>
      <c r="S357">
        <v>19.823999999999998</v>
      </c>
    </row>
    <row r="358" spans="1:19" x14ac:dyDescent="0.25">
      <c r="A358" t="s">
        <v>1333</v>
      </c>
      <c r="B358" s="4">
        <v>44284</v>
      </c>
      <c r="C358" t="s">
        <v>73</v>
      </c>
      <c r="D358" t="s">
        <v>1334</v>
      </c>
      <c r="E358" t="s">
        <v>1335</v>
      </c>
      <c r="F358" t="s">
        <v>66</v>
      </c>
      <c r="G358" t="s">
        <v>39</v>
      </c>
      <c r="H358" t="s">
        <v>449</v>
      </c>
      <c r="I358" t="s">
        <v>450</v>
      </c>
      <c r="J358">
        <v>40214</v>
      </c>
      <c r="K358" t="s">
        <v>406</v>
      </c>
      <c r="L358" t="s">
        <v>697</v>
      </c>
      <c r="M358" t="s">
        <v>48</v>
      </c>
      <c r="N358" t="s">
        <v>168</v>
      </c>
      <c r="O358" t="s">
        <v>698</v>
      </c>
      <c r="P358">
        <v>1207.8399999999999</v>
      </c>
      <c r="Q358">
        <v>8</v>
      </c>
      <c r="R358">
        <v>0</v>
      </c>
      <c r="S358">
        <v>314.03840000000002</v>
      </c>
    </row>
    <row r="359" spans="1:19" x14ac:dyDescent="0.25">
      <c r="A359" t="s">
        <v>1333</v>
      </c>
      <c r="B359" s="4">
        <v>44284</v>
      </c>
      <c r="C359" t="s">
        <v>73</v>
      </c>
      <c r="D359" t="s">
        <v>1334</v>
      </c>
      <c r="E359" t="s">
        <v>1335</v>
      </c>
      <c r="F359" t="s">
        <v>66</v>
      </c>
      <c r="G359" t="s">
        <v>39</v>
      </c>
      <c r="H359" t="s">
        <v>449</v>
      </c>
      <c r="I359" t="s">
        <v>450</v>
      </c>
      <c r="J359">
        <v>40214</v>
      </c>
      <c r="K359" t="s">
        <v>406</v>
      </c>
      <c r="L359" t="s">
        <v>1336</v>
      </c>
      <c r="M359" t="s">
        <v>44</v>
      </c>
      <c r="N359" t="s">
        <v>45</v>
      </c>
      <c r="O359" t="s">
        <v>1337</v>
      </c>
      <c r="P359">
        <v>12.53</v>
      </c>
      <c r="Q359">
        <v>1</v>
      </c>
      <c r="R359">
        <v>0</v>
      </c>
      <c r="S359">
        <v>5.8890999999999991</v>
      </c>
    </row>
    <row r="360" spans="1:19" x14ac:dyDescent="0.25">
      <c r="A360" t="s">
        <v>1333</v>
      </c>
      <c r="B360" s="4">
        <v>44284</v>
      </c>
      <c r="C360" t="s">
        <v>73</v>
      </c>
      <c r="D360" t="s">
        <v>1334</v>
      </c>
      <c r="E360" t="s">
        <v>1335</v>
      </c>
      <c r="F360" t="s">
        <v>66</v>
      </c>
      <c r="G360" t="s">
        <v>39</v>
      </c>
      <c r="H360" t="s">
        <v>449</v>
      </c>
      <c r="I360" t="s">
        <v>450</v>
      </c>
      <c r="J360">
        <v>40214</v>
      </c>
      <c r="K360" t="s">
        <v>406</v>
      </c>
      <c r="L360" t="s">
        <v>1338</v>
      </c>
      <c r="M360" t="s">
        <v>44</v>
      </c>
      <c r="N360" t="s">
        <v>175</v>
      </c>
      <c r="O360" t="s">
        <v>1339</v>
      </c>
      <c r="P360">
        <v>34.58</v>
      </c>
      <c r="Q360">
        <v>1</v>
      </c>
      <c r="R360">
        <v>0</v>
      </c>
      <c r="S360">
        <v>10.028199999999998</v>
      </c>
    </row>
    <row r="361" spans="1:19" x14ac:dyDescent="0.25">
      <c r="A361" t="s">
        <v>1333</v>
      </c>
      <c r="B361" s="4">
        <v>44284</v>
      </c>
      <c r="C361" t="s">
        <v>73</v>
      </c>
      <c r="D361" t="s">
        <v>1334</v>
      </c>
      <c r="E361" t="s">
        <v>1335</v>
      </c>
      <c r="F361" t="s">
        <v>66</v>
      </c>
      <c r="G361" t="s">
        <v>39</v>
      </c>
      <c r="H361" t="s">
        <v>449</v>
      </c>
      <c r="I361" t="s">
        <v>450</v>
      </c>
      <c r="J361">
        <v>40214</v>
      </c>
      <c r="K361" t="s">
        <v>406</v>
      </c>
      <c r="L361" t="s">
        <v>1340</v>
      </c>
      <c r="M361" t="s">
        <v>48</v>
      </c>
      <c r="N361" t="s">
        <v>168</v>
      </c>
      <c r="O361" t="s">
        <v>1341</v>
      </c>
      <c r="P361">
        <v>300.98</v>
      </c>
      <c r="Q361">
        <v>1</v>
      </c>
      <c r="R361">
        <v>0</v>
      </c>
      <c r="S361">
        <v>87.28419999999997</v>
      </c>
    </row>
    <row r="362" spans="1:19" x14ac:dyDescent="0.25">
      <c r="A362" t="s">
        <v>1333</v>
      </c>
      <c r="B362" s="4">
        <v>44284</v>
      </c>
      <c r="C362" t="s">
        <v>73</v>
      </c>
      <c r="D362" t="s">
        <v>1334</v>
      </c>
      <c r="E362" t="s">
        <v>1335</v>
      </c>
      <c r="F362" t="s">
        <v>66</v>
      </c>
      <c r="G362" t="s">
        <v>39</v>
      </c>
      <c r="H362" t="s">
        <v>449</v>
      </c>
      <c r="I362" t="s">
        <v>450</v>
      </c>
      <c r="J362">
        <v>40214</v>
      </c>
      <c r="K362" t="s">
        <v>406</v>
      </c>
      <c r="L362" t="s">
        <v>1342</v>
      </c>
      <c r="M362" t="s">
        <v>48</v>
      </c>
      <c r="N362" t="s">
        <v>168</v>
      </c>
      <c r="O362" t="s">
        <v>1343</v>
      </c>
      <c r="P362">
        <v>258.75</v>
      </c>
      <c r="Q362">
        <v>3</v>
      </c>
      <c r="R362">
        <v>0</v>
      </c>
      <c r="S362">
        <v>77.624999999999972</v>
      </c>
    </row>
    <row r="363" spans="1:19" x14ac:dyDescent="0.25">
      <c r="A363" t="s">
        <v>1344</v>
      </c>
      <c r="B363" s="4">
        <v>44269</v>
      </c>
      <c r="C363" t="s">
        <v>55</v>
      </c>
      <c r="D363" t="s">
        <v>1345</v>
      </c>
      <c r="E363" t="s">
        <v>1346</v>
      </c>
      <c r="F363" t="s">
        <v>218</v>
      </c>
      <c r="G363" t="s">
        <v>39</v>
      </c>
      <c r="H363" t="s">
        <v>1347</v>
      </c>
      <c r="I363" t="s">
        <v>1053</v>
      </c>
      <c r="J363">
        <v>1841</v>
      </c>
      <c r="K363" t="s">
        <v>60</v>
      </c>
      <c r="L363" t="s">
        <v>1348</v>
      </c>
      <c r="M363" t="s">
        <v>86</v>
      </c>
      <c r="N363" t="s">
        <v>149</v>
      </c>
      <c r="O363" t="s">
        <v>1349</v>
      </c>
      <c r="P363">
        <v>1199.98</v>
      </c>
      <c r="Q363">
        <v>2</v>
      </c>
      <c r="R363">
        <v>0</v>
      </c>
      <c r="S363">
        <v>467.99220000000003</v>
      </c>
    </row>
    <row r="364" spans="1:19" x14ac:dyDescent="0.25">
      <c r="A364" t="s">
        <v>1344</v>
      </c>
      <c r="B364" s="4">
        <v>44269</v>
      </c>
      <c r="C364" t="s">
        <v>55</v>
      </c>
      <c r="D364" t="s">
        <v>1345</v>
      </c>
      <c r="E364" t="s">
        <v>1346</v>
      </c>
      <c r="F364" t="s">
        <v>218</v>
      </c>
      <c r="G364" t="s">
        <v>39</v>
      </c>
      <c r="H364" t="s">
        <v>1347</v>
      </c>
      <c r="I364" t="s">
        <v>1053</v>
      </c>
      <c r="J364">
        <v>1841</v>
      </c>
      <c r="K364" t="s">
        <v>60</v>
      </c>
      <c r="L364" t="s">
        <v>111</v>
      </c>
      <c r="M364" t="s">
        <v>44</v>
      </c>
      <c r="N364" t="s">
        <v>52</v>
      </c>
      <c r="O364" t="s">
        <v>112</v>
      </c>
      <c r="P364">
        <v>73.849999999999994</v>
      </c>
      <c r="Q364">
        <v>1</v>
      </c>
      <c r="R364">
        <v>0</v>
      </c>
      <c r="S364">
        <v>2.2155000000000058</v>
      </c>
    </row>
    <row r="365" spans="1:19" x14ac:dyDescent="0.25">
      <c r="A365" t="s">
        <v>1344</v>
      </c>
      <c r="B365" s="4">
        <v>44269</v>
      </c>
      <c r="C365" t="s">
        <v>55</v>
      </c>
      <c r="D365" t="s">
        <v>1345</v>
      </c>
      <c r="E365" t="s">
        <v>1346</v>
      </c>
      <c r="F365" t="s">
        <v>218</v>
      </c>
      <c r="G365" t="s">
        <v>39</v>
      </c>
      <c r="H365" t="s">
        <v>1347</v>
      </c>
      <c r="I365" t="s">
        <v>1053</v>
      </c>
      <c r="J365">
        <v>1841</v>
      </c>
      <c r="K365" t="s">
        <v>60</v>
      </c>
      <c r="L365" t="s">
        <v>1350</v>
      </c>
      <c r="M365" t="s">
        <v>44</v>
      </c>
      <c r="N365" t="s">
        <v>435</v>
      </c>
      <c r="O365" t="s">
        <v>1351</v>
      </c>
      <c r="P365">
        <v>25.71</v>
      </c>
      <c r="Q365">
        <v>3</v>
      </c>
      <c r="R365">
        <v>0</v>
      </c>
      <c r="S365">
        <v>6.6846000000000005</v>
      </c>
    </row>
    <row r="366" spans="1:19" x14ac:dyDescent="0.25">
      <c r="A366" t="s">
        <v>1344</v>
      </c>
      <c r="B366" s="4">
        <v>44269</v>
      </c>
      <c r="C366" t="s">
        <v>55</v>
      </c>
      <c r="D366" t="s">
        <v>1345</v>
      </c>
      <c r="E366" t="s">
        <v>1346</v>
      </c>
      <c r="F366" t="s">
        <v>218</v>
      </c>
      <c r="G366" t="s">
        <v>39</v>
      </c>
      <c r="H366" t="s">
        <v>1347</v>
      </c>
      <c r="I366" t="s">
        <v>1053</v>
      </c>
      <c r="J366">
        <v>1841</v>
      </c>
      <c r="K366" t="s">
        <v>60</v>
      </c>
      <c r="L366" t="s">
        <v>1352</v>
      </c>
      <c r="M366" t="s">
        <v>44</v>
      </c>
      <c r="N366" t="s">
        <v>101</v>
      </c>
      <c r="O366" t="s">
        <v>1353</v>
      </c>
      <c r="P366">
        <v>17.28</v>
      </c>
      <c r="Q366">
        <v>6</v>
      </c>
      <c r="R366">
        <v>0</v>
      </c>
      <c r="S366">
        <v>8.121599999999999</v>
      </c>
    </row>
    <row r="367" spans="1:19" x14ac:dyDescent="0.25">
      <c r="A367" t="s">
        <v>1344</v>
      </c>
      <c r="B367" s="4">
        <v>44269</v>
      </c>
      <c r="C367" t="s">
        <v>55</v>
      </c>
      <c r="D367" t="s">
        <v>1345</v>
      </c>
      <c r="E367" t="s">
        <v>1346</v>
      </c>
      <c r="F367" t="s">
        <v>218</v>
      </c>
      <c r="G367" t="s">
        <v>39</v>
      </c>
      <c r="H367" t="s">
        <v>1347</v>
      </c>
      <c r="I367" t="s">
        <v>1053</v>
      </c>
      <c r="J367">
        <v>1841</v>
      </c>
      <c r="K367" t="s">
        <v>60</v>
      </c>
      <c r="L367" t="s">
        <v>1354</v>
      </c>
      <c r="M367" t="s">
        <v>48</v>
      </c>
      <c r="N367" t="s">
        <v>155</v>
      </c>
      <c r="O367" t="s">
        <v>1355</v>
      </c>
      <c r="P367">
        <v>526.58199999999999</v>
      </c>
      <c r="Q367">
        <v>2</v>
      </c>
      <c r="R367">
        <v>0.3</v>
      </c>
      <c r="S367">
        <v>-52.658199999999965</v>
      </c>
    </row>
    <row r="368" spans="1:19" x14ac:dyDescent="0.25">
      <c r="A368" t="s">
        <v>1356</v>
      </c>
      <c r="B368" s="4">
        <v>44273</v>
      </c>
      <c r="C368" t="s">
        <v>35</v>
      </c>
      <c r="D368" t="s">
        <v>870</v>
      </c>
      <c r="E368" t="s">
        <v>871</v>
      </c>
      <c r="F368" t="s">
        <v>66</v>
      </c>
      <c r="G368" t="s">
        <v>39</v>
      </c>
      <c r="H368" t="s">
        <v>1357</v>
      </c>
      <c r="I368" t="s">
        <v>894</v>
      </c>
      <c r="J368">
        <v>28205</v>
      </c>
      <c r="K368" t="s">
        <v>406</v>
      </c>
      <c r="L368" t="s">
        <v>1135</v>
      </c>
      <c r="M368" t="s">
        <v>44</v>
      </c>
      <c r="N368" t="s">
        <v>175</v>
      </c>
      <c r="O368" t="s">
        <v>1136</v>
      </c>
      <c r="P368">
        <v>12.672000000000001</v>
      </c>
      <c r="Q368">
        <v>9</v>
      </c>
      <c r="R368">
        <v>0.2</v>
      </c>
      <c r="S368">
        <v>1.4255999999999993</v>
      </c>
    </row>
    <row r="369" spans="1:19" x14ac:dyDescent="0.25">
      <c r="A369" t="s">
        <v>1358</v>
      </c>
      <c r="B369" s="4">
        <v>44258</v>
      </c>
      <c r="C369" t="s">
        <v>35</v>
      </c>
      <c r="D369" t="s">
        <v>764</v>
      </c>
      <c r="E369" t="s">
        <v>765</v>
      </c>
      <c r="F369" t="s">
        <v>66</v>
      </c>
      <c r="G369" t="s">
        <v>39</v>
      </c>
      <c r="H369" t="s">
        <v>1125</v>
      </c>
      <c r="I369" t="s">
        <v>41</v>
      </c>
      <c r="J369">
        <v>75023</v>
      </c>
      <c r="K369" t="s">
        <v>42</v>
      </c>
      <c r="L369" t="s">
        <v>1359</v>
      </c>
      <c r="M369" t="s">
        <v>44</v>
      </c>
      <c r="N369" t="s">
        <v>152</v>
      </c>
      <c r="O369" t="s">
        <v>1360</v>
      </c>
      <c r="P369">
        <v>10.368000000000002</v>
      </c>
      <c r="Q369">
        <v>2</v>
      </c>
      <c r="R369">
        <v>0.2</v>
      </c>
      <c r="S369">
        <v>3.6288</v>
      </c>
    </row>
    <row r="370" spans="1:19" x14ac:dyDescent="0.25">
      <c r="A370" t="s">
        <v>1361</v>
      </c>
      <c r="B370" s="4">
        <v>44263</v>
      </c>
      <c r="C370" t="s">
        <v>73</v>
      </c>
      <c r="D370" t="s">
        <v>1362</v>
      </c>
      <c r="E370" t="s">
        <v>1363</v>
      </c>
      <c r="F370" t="s">
        <v>218</v>
      </c>
      <c r="G370" t="s">
        <v>39</v>
      </c>
      <c r="H370" t="s">
        <v>1364</v>
      </c>
      <c r="I370" t="s">
        <v>665</v>
      </c>
      <c r="J370">
        <v>2920</v>
      </c>
      <c r="K370" t="s">
        <v>60</v>
      </c>
      <c r="L370" t="s">
        <v>1365</v>
      </c>
      <c r="M370" t="s">
        <v>44</v>
      </c>
      <c r="N370" t="s">
        <v>52</v>
      </c>
      <c r="O370" t="s">
        <v>1366</v>
      </c>
      <c r="P370">
        <v>592.74</v>
      </c>
      <c r="Q370">
        <v>6</v>
      </c>
      <c r="R370">
        <v>0</v>
      </c>
      <c r="S370">
        <v>160.03979999999999</v>
      </c>
    </row>
    <row r="371" spans="1:19" x14ac:dyDescent="0.25">
      <c r="A371" t="s">
        <v>1367</v>
      </c>
      <c r="B371" s="4">
        <v>44262</v>
      </c>
      <c r="C371" t="s">
        <v>55</v>
      </c>
      <c r="D371" t="s">
        <v>1368</v>
      </c>
      <c r="E371" t="s">
        <v>1369</v>
      </c>
      <c r="F371" t="s">
        <v>66</v>
      </c>
      <c r="G371" t="s">
        <v>39</v>
      </c>
      <c r="H371" t="s">
        <v>1370</v>
      </c>
      <c r="I371" t="s">
        <v>750</v>
      </c>
      <c r="J371">
        <v>39401</v>
      </c>
      <c r="K371" t="s">
        <v>406</v>
      </c>
      <c r="L371" t="s">
        <v>1371</v>
      </c>
      <c r="M371" t="s">
        <v>44</v>
      </c>
      <c r="N371" t="s">
        <v>70</v>
      </c>
      <c r="O371" t="s">
        <v>1372</v>
      </c>
      <c r="P371">
        <v>320.64</v>
      </c>
      <c r="Q371">
        <v>4</v>
      </c>
      <c r="R371">
        <v>0</v>
      </c>
      <c r="S371">
        <v>89.779200000000003</v>
      </c>
    </row>
    <row r="372" spans="1:19" x14ac:dyDescent="0.25">
      <c r="A372" t="s">
        <v>1367</v>
      </c>
      <c r="B372" s="4">
        <v>44262</v>
      </c>
      <c r="C372" t="s">
        <v>55</v>
      </c>
      <c r="D372" t="s">
        <v>1368</v>
      </c>
      <c r="E372" t="s">
        <v>1369</v>
      </c>
      <c r="F372" t="s">
        <v>66</v>
      </c>
      <c r="G372" t="s">
        <v>39</v>
      </c>
      <c r="H372" t="s">
        <v>1370</v>
      </c>
      <c r="I372" t="s">
        <v>750</v>
      </c>
      <c r="J372">
        <v>39401</v>
      </c>
      <c r="K372" t="s">
        <v>406</v>
      </c>
      <c r="L372" t="s">
        <v>1373</v>
      </c>
      <c r="M372" t="s">
        <v>86</v>
      </c>
      <c r="N372" t="s">
        <v>109</v>
      </c>
      <c r="O372" t="s">
        <v>1374</v>
      </c>
      <c r="P372">
        <v>52</v>
      </c>
      <c r="Q372">
        <v>4</v>
      </c>
      <c r="R372">
        <v>0</v>
      </c>
      <c r="S372">
        <v>23.4</v>
      </c>
    </row>
    <row r="373" spans="1:19" x14ac:dyDescent="0.25">
      <c r="A373" t="s">
        <v>1375</v>
      </c>
      <c r="B373" s="4">
        <v>44258</v>
      </c>
      <c r="C373" t="s">
        <v>73</v>
      </c>
      <c r="D373" t="s">
        <v>1376</v>
      </c>
      <c r="E373" t="s">
        <v>1377</v>
      </c>
      <c r="F373" t="s">
        <v>66</v>
      </c>
      <c r="G373" t="s">
        <v>39</v>
      </c>
      <c r="H373" t="s">
        <v>1378</v>
      </c>
      <c r="I373" t="s">
        <v>199</v>
      </c>
      <c r="J373">
        <v>80229</v>
      </c>
      <c r="K373" t="s">
        <v>84</v>
      </c>
      <c r="L373" t="s">
        <v>1379</v>
      </c>
      <c r="M373" t="s">
        <v>44</v>
      </c>
      <c r="N373" t="s">
        <v>175</v>
      </c>
      <c r="O373" t="s">
        <v>1380</v>
      </c>
      <c r="P373">
        <v>13.343999999999998</v>
      </c>
      <c r="Q373">
        <v>6</v>
      </c>
      <c r="R373">
        <v>0.2</v>
      </c>
      <c r="S373">
        <v>1.0007999999999999</v>
      </c>
    </row>
    <row r="374" spans="1:19" x14ac:dyDescent="0.25">
      <c r="A374" t="s">
        <v>1375</v>
      </c>
      <c r="B374" s="4">
        <v>44258</v>
      </c>
      <c r="C374" t="s">
        <v>73</v>
      </c>
      <c r="D374" t="s">
        <v>1376</v>
      </c>
      <c r="E374" t="s">
        <v>1377</v>
      </c>
      <c r="F374" t="s">
        <v>66</v>
      </c>
      <c r="G374" t="s">
        <v>39</v>
      </c>
      <c r="H374" t="s">
        <v>1378</v>
      </c>
      <c r="I374" t="s">
        <v>199</v>
      </c>
      <c r="J374">
        <v>80229</v>
      </c>
      <c r="K374" t="s">
        <v>84</v>
      </c>
      <c r="L374" t="s">
        <v>1381</v>
      </c>
      <c r="M374" t="s">
        <v>86</v>
      </c>
      <c r="N374" t="s">
        <v>109</v>
      </c>
      <c r="O374" t="s">
        <v>1382</v>
      </c>
      <c r="P374">
        <v>76.75200000000001</v>
      </c>
      <c r="Q374">
        <v>6</v>
      </c>
      <c r="R374">
        <v>0.2</v>
      </c>
      <c r="S374">
        <v>10.553399999999993</v>
      </c>
    </row>
    <row r="375" spans="1:19" x14ac:dyDescent="0.25">
      <c r="A375" t="s">
        <v>1375</v>
      </c>
      <c r="B375" s="4">
        <v>44258</v>
      </c>
      <c r="C375" t="s">
        <v>73</v>
      </c>
      <c r="D375" t="s">
        <v>1376</v>
      </c>
      <c r="E375" t="s">
        <v>1377</v>
      </c>
      <c r="F375" t="s">
        <v>66</v>
      </c>
      <c r="G375" t="s">
        <v>39</v>
      </c>
      <c r="H375" t="s">
        <v>1378</v>
      </c>
      <c r="I375" t="s">
        <v>199</v>
      </c>
      <c r="J375">
        <v>80229</v>
      </c>
      <c r="K375" t="s">
        <v>84</v>
      </c>
      <c r="L375" t="s">
        <v>1381</v>
      </c>
      <c r="M375" t="s">
        <v>86</v>
      </c>
      <c r="N375" t="s">
        <v>109</v>
      </c>
      <c r="O375" t="s">
        <v>1382</v>
      </c>
      <c r="P375">
        <v>102.33600000000001</v>
      </c>
      <c r="Q375">
        <v>8</v>
      </c>
      <c r="R375">
        <v>0.2</v>
      </c>
      <c r="S375">
        <v>14.07119999999999</v>
      </c>
    </row>
    <row r="376" spans="1:19" x14ac:dyDescent="0.25">
      <c r="A376" t="s">
        <v>1375</v>
      </c>
      <c r="B376" s="4">
        <v>44258</v>
      </c>
      <c r="C376" t="s">
        <v>73</v>
      </c>
      <c r="D376" t="s">
        <v>1376</v>
      </c>
      <c r="E376" t="s">
        <v>1377</v>
      </c>
      <c r="F376" t="s">
        <v>66</v>
      </c>
      <c r="G376" t="s">
        <v>39</v>
      </c>
      <c r="H376" t="s">
        <v>1378</v>
      </c>
      <c r="I376" t="s">
        <v>199</v>
      </c>
      <c r="J376">
        <v>80229</v>
      </c>
      <c r="K376" t="s">
        <v>84</v>
      </c>
      <c r="L376" t="s">
        <v>1383</v>
      </c>
      <c r="M376" t="s">
        <v>44</v>
      </c>
      <c r="N376" t="s">
        <v>152</v>
      </c>
      <c r="O376" t="s">
        <v>1384</v>
      </c>
      <c r="P376">
        <v>10.32</v>
      </c>
      <c r="Q376">
        <v>2</v>
      </c>
      <c r="R376">
        <v>0.2</v>
      </c>
      <c r="S376">
        <v>3.7409999999999997</v>
      </c>
    </row>
    <row r="377" spans="1:19" x14ac:dyDescent="0.25">
      <c r="A377" t="s">
        <v>1375</v>
      </c>
      <c r="B377" s="4">
        <v>44258</v>
      </c>
      <c r="C377" t="s">
        <v>73</v>
      </c>
      <c r="D377" t="s">
        <v>1376</v>
      </c>
      <c r="E377" t="s">
        <v>1377</v>
      </c>
      <c r="F377" t="s">
        <v>66</v>
      </c>
      <c r="G377" t="s">
        <v>39</v>
      </c>
      <c r="H377" t="s">
        <v>1378</v>
      </c>
      <c r="I377" t="s">
        <v>199</v>
      </c>
      <c r="J377">
        <v>80229</v>
      </c>
      <c r="K377" t="s">
        <v>84</v>
      </c>
      <c r="L377" t="s">
        <v>1385</v>
      </c>
      <c r="M377" t="s">
        <v>44</v>
      </c>
      <c r="N377" t="s">
        <v>435</v>
      </c>
      <c r="O377" t="s">
        <v>1386</v>
      </c>
      <c r="P377">
        <v>47.32</v>
      </c>
      <c r="Q377">
        <v>7</v>
      </c>
      <c r="R377">
        <v>0.2</v>
      </c>
      <c r="S377">
        <v>5.9149999999999938</v>
      </c>
    </row>
    <row r="378" spans="1:19" x14ac:dyDescent="0.25">
      <c r="A378" t="s">
        <v>1375</v>
      </c>
      <c r="B378" s="4">
        <v>44258</v>
      </c>
      <c r="C378" t="s">
        <v>73</v>
      </c>
      <c r="D378" t="s">
        <v>1376</v>
      </c>
      <c r="E378" t="s">
        <v>1377</v>
      </c>
      <c r="F378" t="s">
        <v>66</v>
      </c>
      <c r="G378" t="s">
        <v>39</v>
      </c>
      <c r="H378" t="s">
        <v>1378</v>
      </c>
      <c r="I378" t="s">
        <v>199</v>
      </c>
      <c r="J378">
        <v>80229</v>
      </c>
      <c r="K378" t="s">
        <v>84</v>
      </c>
      <c r="L378" t="s">
        <v>1387</v>
      </c>
      <c r="M378" t="s">
        <v>48</v>
      </c>
      <c r="N378" t="s">
        <v>49</v>
      </c>
      <c r="O378" t="s">
        <v>606</v>
      </c>
      <c r="P378">
        <v>23.376000000000001</v>
      </c>
      <c r="Q378">
        <v>3</v>
      </c>
      <c r="R378">
        <v>0.2</v>
      </c>
      <c r="S378">
        <v>7.0128000000000013</v>
      </c>
    </row>
    <row r="379" spans="1:19" x14ac:dyDescent="0.25">
      <c r="A379" t="s">
        <v>1375</v>
      </c>
      <c r="B379" s="4">
        <v>44258</v>
      </c>
      <c r="C379" t="s">
        <v>73</v>
      </c>
      <c r="D379" t="s">
        <v>1376</v>
      </c>
      <c r="E379" t="s">
        <v>1377</v>
      </c>
      <c r="F379" t="s">
        <v>66</v>
      </c>
      <c r="G379" t="s">
        <v>39</v>
      </c>
      <c r="H379" t="s">
        <v>1378</v>
      </c>
      <c r="I379" t="s">
        <v>199</v>
      </c>
      <c r="J379">
        <v>80229</v>
      </c>
      <c r="K379" t="s">
        <v>84</v>
      </c>
      <c r="L379" t="s">
        <v>1388</v>
      </c>
      <c r="M379" t="s">
        <v>48</v>
      </c>
      <c r="N379" t="s">
        <v>49</v>
      </c>
      <c r="O379" t="s">
        <v>1389</v>
      </c>
      <c r="P379">
        <v>16.72</v>
      </c>
      <c r="Q379">
        <v>5</v>
      </c>
      <c r="R379">
        <v>0.2</v>
      </c>
      <c r="S379">
        <v>3.3439999999999994</v>
      </c>
    </row>
    <row r="380" spans="1:19" x14ac:dyDescent="0.25">
      <c r="A380" t="s">
        <v>1375</v>
      </c>
      <c r="B380" s="4">
        <v>44258</v>
      </c>
      <c r="C380" t="s">
        <v>73</v>
      </c>
      <c r="D380" t="s">
        <v>1376</v>
      </c>
      <c r="E380" t="s">
        <v>1377</v>
      </c>
      <c r="F380" t="s">
        <v>66</v>
      </c>
      <c r="G380" t="s">
        <v>39</v>
      </c>
      <c r="H380" t="s">
        <v>1378</v>
      </c>
      <c r="I380" t="s">
        <v>199</v>
      </c>
      <c r="J380">
        <v>80229</v>
      </c>
      <c r="K380" t="s">
        <v>84</v>
      </c>
      <c r="L380" t="s">
        <v>1390</v>
      </c>
      <c r="M380" t="s">
        <v>48</v>
      </c>
      <c r="N380" t="s">
        <v>49</v>
      </c>
      <c r="O380" t="s">
        <v>1391</v>
      </c>
      <c r="P380">
        <v>16.192</v>
      </c>
      <c r="Q380">
        <v>1</v>
      </c>
      <c r="R380">
        <v>0.2</v>
      </c>
      <c r="S380">
        <v>4.6552000000000007</v>
      </c>
    </row>
    <row r="381" spans="1:19" x14ac:dyDescent="0.25">
      <c r="A381" t="s">
        <v>1392</v>
      </c>
      <c r="B381" s="4">
        <v>44280</v>
      </c>
      <c r="C381" t="s">
        <v>55</v>
      </c>
      <c r="D381" t="s">
        <v>1393</v>
      </c>
      <c r="E381" t="s">
        <v>1394</v>
      </c>
      <c r="F381" t="s">
        <v>66</v>
      </c>
      <c r="G381" t="s">
        <v>39</v>
      </c>
      <c r="H381" t="s">
        <v>76</v>
      </c>
      <c r="I381" t="s">
        <v>41</v>
      </c>
      <c r="J381">
        <v>75081</v>
      </c>
      <c r="K381" t="s">
        <v>42</v>
      </c>
      <c r="L381" t="s">
        <v>250</v>
      </c>
      <c r="M381" t="s">
        <v>44</v>
      </c>
      <c r="N381" t="s">
        <v>45</v>
      </c>
      <c r="O381" t="s">
        <v>251</v>
      </c>
      <c r="P381">
        <v>39.581999999999987</v>
      </c>
      <c r="Q381">
        <v>9</v>
      </c>
      <c r="R381">
        <v>0.8</v>
      </c>
      <c r="S381">
        <v>-59.372999999999976</v>
      </c>
    </row>
    <row r="382" spans="1:19" x14ac:dyDescent="0.25">
      <c r="A382" t="s">
        <v>1392</v>
      </c>
      <c r="B382" s="4">
        <v>44280</v>
      </c>
      <c r="C382" t="s">
        <v>55</v>
      </c>
      <c r="D382" t="s">
        <v>1393</v>
      </c>
      <c r="E382" t="s">
        <v>1394</v>
      </c>
      <c r="F382" t="s">
        <v>66</v>
      </c>
      <c r="G382" t="s">
        <v>39</v>
      </c>
      <c r="H382" t="s">
        <v>76</v>
      </c>
      <c r="I382" t="s">
        <v>41</v>
      </c>
      <c r="J382">
        <v>75081</v>
      </c>
      <c r="K382" t="s">
        <v>42</v>
      </c>
      <c r="L382" t="s">
        <v>1395</v>
      </c>
      <c r="M382" t="s">
        <v>44</v>
      </c>
      <c r="N382" t="s">
        <v>435</v>
      </c>
      <c r="O382" t="s">
        <v>1396</v>
      </c>
      <c r="P382">
        <v>44.688000000000002</v>
      </c>
      <c r="Q382">
        <v>7</v>
      </c>
      <c r="R382">
        <v>0.2</v>
      </c>
      <c r="S382">
        <v>5.0273999999999965</v>
      </c>
    </row>
    <row r="383" spans="1:19" x14ac:dyDescent="0.25">
      <c r="A383" t="s">
        <v>1392</v>
      </c>
      <c r="B383" s="4">
        <v>44280</v>
      </c>
      <c r="C383" t="s">
        <v>55</v>
      </c>
      <c r="D383" t="s">
        <v>1393</v>
      </c>
      <c r="E383" t="s">
        <v>1394</v>
      </c>
      <c r="F383" t="s">
        <v>66</v>
      </c>
      <c r="G383" t="s">
        <v>39</v>
      </c>
      <c r="H383" t="s">
        <v>76</v>
      </c>
      <c r="I383" t="s">
        <v>41</v>
      </c>
      <c r="J383">
        <v>75081</v>
      </c>
      <c r="K383" t="s">
        <v>42</v>
      </c>
      <c r="L383" t="s">
        <v>1397</v>
      </c>
      <c r="M383" t="s">
        <v>44</v>
      </c>
      <c r="N383" t="s">
        <v>175</v>
      </c>
      <c r="O383" t="s">
        <v>1398</v>
      </c>
      <c r="P383">
        <v>31.744</v>
      </c>
      <c r="Q383">
        <v>2</v>
      </c>
      <c r="R383">
        <v>0.2</v>
      </c>
      <c r="S383">
        <v>2.3808000000000007</v>
      </c>
    </row>
    <row r="384" spans="1:19" x14ac:dyDescent="0.25">
      <c r="A384" t="s">
        <v>1392</v>
      </c>
      <c r="B384" s="4">
        <v>44280</v>
      </c>
      <c r="C384" t="s">
        <v>55</v>
      </c>
      <c r="D384" t="s">
        <v>1393</v>
      </c>
      <c r="E384" t="s">
        <v>1394</v>
      </c>
      <c r="F384" t="s">
        <v>66</v>
      </c>
      <c r="G384" t="s">
        <v>39</v>
      </c>
      <c r="H384" t="s">
        <v>76</v>
      </c>
      <c r="I384" t="s">
        <v>41</v>
      </c>
      <c r="J384">
        <v>75081</v>
      </c>
      <c r="K384" t="s">
        <v>42</v>
      </c>
      <c r="L384" t="s">
        <v>278</v>
      </c>
      <c r="M384" t="s">
        <v>44</v>
      </c>
      <c r="N384" t="s">
        <v>45</v>
      </c>
      <c r="O384" t="s">
        <v>279</v>
      </c>
      <c r="P384">
        <v>40.97999999999999</v>
      </c>
      <c r="Q384">
        <v>5</v>
      </c>
      <c r="R384">
        <v>0.8</v>
      </c>
      <c r="S384">
        <v>-65.567999999999998</v>
      </c>
    </row>
    <row r="385" spans="1:19" x14ac:dyDescent="0.25">
      <c r="A385" t="s">
        <v>1392</v>
      </c>
      <c r="B385" s="4">
        <v>44280</v>
      </c>
      <c r="C385" t="s">
        <v>55</v>
      </c>
      <c r="D385" t="s">
        <v>1393</v>
      </c>
      <c r="E385" t="s">
        <v>1394</v>
      </c>
      <c r="F385" t="s">
        <v>66</v>
      </c>
      <c r="G385" t="s">
        <v>39</v>
      </c>
      <c r="H385" t="s">
        <v>76</v>
      </c>
      <c r="I385" t="s">
        <v>41</v>
      </c>
      <c r="J385">
        <v>75081</v>
      </c>
      <c r="K385" t="s">
        <v>42</v>
      </c>
      <c r="L385" t="s">
        <v>1399</v>
      </c>
      <c r="M385" t="s">
        <v>44</v>
      </c>
      <c r="N385" t="s">
        <v>45</v>
      </c>
      <c r="O385" t="s">
        <v>1400</v>
      </c>
      <c r="P385">
        <v>3.1679999999999993</v>
      </c>
      <c r="Q385">
        <v>3</v>
      </c>
      <c r="R385">
        <v>0.8</v>
      </c>
      <c r="S385">
        <v>-5.0687999999999995</v>
      </c>
    </row>
    <row r="386" spans="1:19" x14ac:dyDescent="0.25">
      <c r="A386" t="s">
        <v>1401</v>
      </c>
      <c r="B386" s="4">
        <v>44283</v>
      </c>
      <c r="C386" t="s">
        <v>55</v>
      </c>
      <c r="D386" t="s">
        <v>520</v>
      </c>
      <c r="E386" t="s">
        <v>521</v>
      </c>
      <c r="F386" t="s">
        <v>66</v>
      </c>
      <c r="G386" t="s">
        <v>39</v>
      </c>
      <c r="H386" t="s">
        <v>1402</v>
      </c>
      <c r="I386" t="s">
        <v>571</v>
      </c>
      <c r="J386">
        <v>87105</v>
      </c>
      <c r="K386" t="s">
        <v>84</v>
      </c>
      <c r="L386" t="s">
        <v>1403</v>
      </c>
      <c r="M386" t="s">
        <v>44</v>
      </c>
      <c r="N386" t="s">
        <v>52</v>
      </c>
      <c r="O386" t="s">
        <v>1404</v>
      </c>
      <c r="P386">
        <v>118.25</v>
      </c>
      <c r="Q386">
        <v>5</v>
      </c>
      <c r="R386">
        <v>0</v>
      </c>
      <c r="S386">
        <v>34.292499999999997</v>
      </c>
    </row>
    <row r="387" spans="1:19" x14ac:dyDescent="0.25">
      <c r="A387" t="s">
        <v>1401</v>
      </c>
      <c r="B387" s="4">
        <v>44283</v>
      </c>
      <c r="C387" t="s">
        <v>55</v>
      </c>
      <c r="D387" t="s">
        <v>520</v>
      </c>
      <c r="E387" t="s">
        <v>521</v>
      </c>
      <c r="F387" t="s">
        <v>66</v>
      </c>
      <c r="G387" t="s">
        <v>39</v>
      </c>
      <c r="H387" t="s">
        <v>1402</v>
      </c>
      <c r="I387" t="s">
        <v>571</v>
      </c>
      <c r="J387">
        <v>87105</v>
      </c>
      <c r="K387" t="s">
        <v>84</v>
      </c>
      <c r="L387" t="s">
        <v>1405</v>
      </c>
      <c r="M387" t="s">
        <v>44</v>
      </c>
      <c r="N387" t="s">
        <v>152</v>
      </c>
      <c r="O387" t="s">
        <v>1406</v>
      </c>
      <c r="P387">
        <v>4.28</v>
      </c>
      <c r="Q387">
        <v>1</v>
      </c>
      <c r="R387">
        <v>0</v>
      </c>
      <c r="S387">
        <v>1.9259999999999997</v>
      </c>
    </row>
    <row r="388" spans="1:19" x14ac:dyDescent="0.25">
      <c r="A388" t="s">
        <v>1407</v>
      </c>
      <c r="B388" s="4">
        <v>44263</v>
      </c>
      <c r="C388" t="s">
        <v>55</v>
      </c>
      <c r="D388" t="s">
        <v>1408</v>
      </c>
      <c r="E388" t="s">
        <v>1409</v>
      </c>
      <c r="F388" t="s">
        <v>66</v>
      </c>
      <c r="G388" t="s">
        <v>39</v>
      </c>
      <c r="H388" t="s">
        <v>323</v>
      </c>
      <c r="I388" t="s">
        <v>324</v>
      </c>
      <c r="J388">
        <v>19140</v>
      </c>
      <c r="K388" t="s">
        <v>60</v>
      </c>
      <c r="L388" t="s">
        <v>1410</v>
      </c>
      <c r="M388" t="s">
        <v>48</v>
      </c>
      <c r="N388" t="s">
        <v>168</v>
      </c>
      <c r="O388" t="s">
        <v>1411</v>
      </c>
      <c r="P388">
        <v>215.54400000000001</v>
      </c>
      <c r="Q388">
        <v>4</v>
      </c>
      <c r="R388">
        <v>0.3</v>
      </c>
      <c r="S388">
        <v>-58.504800000000017</v>
      </c>
    </row>
    <row r="389" spans="1:19" x14ac:dyDescent="0.25">
      <c r="A389" t="s">
        <v>1412</v>
      </c>
      <c r="B389" s="4">
        <v>44281</v>
      </c>
      <c r="C389" t="s">
        <v>55</v>
      </c>
      <c r="D389" t="s">
        <v>1413</v>
      </c>
      <c r="E389" t="s">
        <v>1414</v>
      </c>
      <c r="F389" t="s">
        <v>38</v>
      </c>
      <c r="G389" t="s">
        <v>39</v>
      </c>
      <c r="H389" t="s">
        <v>1415</v>
      </c>
      <c r="I389" t="s">
        <v>41</v>
      </c>
      <c r="J389">
        <v>79762</v>
      </c>
      <c r="K389" t="s">
        <v>42</v>
      </c>
      <c r="L389" t="s">
        <v>1416</v>
      </c>
      <c r="M389" t="s">
        <v>44</v>
      </c>
      <c r="N389" t="s">
        <v>152</v>
      </c>
      <c r="O389" t="s">
        <v>1417</v>
      </c>
      <c r="P389">
        <v>16.032</v>
      </c>
      <c r="Q389">
        <v>3</v>
      </c>
      <c r="R389">
        <v>0.2</v>
      </c>
      <c r="S389">
        <v>5.6111999999999993</v>
      </c>
    </row>
    <row r="390" spans="1:19" x14ac:dyDescent="0.25">
      <c r="A390" t="s">
        <v>1418</v>
      </c>
      <c r="B390" s="4">
        <v>44277</v>
      </c>
      <c r="C390" t="s">
        <v>35</v>
      </c>
      <c r="D390" t="s">
        <v>1419</v>
      </c>
      <c r="E390" t="s">
        <v>1420</v>
      </c>
      <c r="F390" t="s">
        <v>66</v>
      </c>
      <c r="G390" t="s">
        <v>39</v>
      </c>
      <c r="H390" t="s">
        <v>173</v>
      </c>
      <c r="I390" t="s">
        <v>83</v>
      </c>
      <c r="J390">
        <v>90008</v>
      </c>
      <c r="K390" t="s">
        <v>84</v>
      </c>
      <c r="L390" t="s">
        <v>716</v>
      </c>
      <c r="M390" t="s">
        <v>86</v>
      </c>
      <c r="N390" t="s">
        <v>109</v>
      </c>
      <c r="O390" t="s">
        <v>717</v>
      </c>
      <c r="P390">
        <v>474.95</v>
      </c>
      <c r="Q390">
        <v>5</v>
      </c>
      <c r="R390">
        <v>0</v>
      </c>
      <c r="S390">
        <v>142.48499999999993</v>
      </c>
    </row>
    <row r="391" spans="1:19" x14ac:dyDescent="0.25">
      <c r="A391" t="s">
        <v>1421</v>
      </c>
      <c r="B391" s="4">
        <v>44259</v>
      </c>
      <c r="C391" t="s">
        <v>35</v>
      </c>
      <c r="D391" t="s">
        <v>1422</v>
      </c>
      <c r="E391" t="s">
        <v>1423</v>
      </c>
      <c r="F391" t="s">
        <v>38</v>
      </c>
      <c r="G391" t="s">
        <v>39</v>
      </c>
      <c r="H391" t="s">
        <v>173</v>
      </c>
      <c r="I391" t="s">
        <v>83</v>
      </c>
      <c r="J391">
        <v>90032</v>
      </c>
      <c r="K391" t="s">
        <v>84</v>
      </c>
      <c r="L391" t="s">
        <v>1424</v>
      </c>
      <c r="M391" t="s">
        <v>44</v>
      </c>
      <c r="N391" t="s">
        <v>152</v>
      </c>
      <c r="O391" t="s">
        <v>1425</v>
      </c>
      <c r="P391">
        <v>11.76</v>
      </c>
      <c r="Q391">
        <v>2</v>
      </c>
      <c r="R391">
        <v>0</v>
      </c>
      <c r="S391">
        <v>5.7623999999999995</v>
      </c>
    </row>
    <row r="392" spans="1:19" x14ac:dyDescent="0.25">
      <c r="A392" t="s">
        <v>1426</v>
      </c>
      <c r="B392" s="4">
        <v>44278</v>
      </c>
      <c r="C392" t="s">
        <v>55</v>
      </c>
      <c r="D392" t="s">
        <v>1427</v>
      </c>
      <c r="E392" t="s">
        <v>1428</v>
      </c>
      <c r="F392" t="s">
        <v>218</v>
      </c>
      <c r="G392" t="s">
        <v>39</v>
      </c>
      <c r="H392" t="s">
        <v>1429</v>
      </c>
      <c r="I392" t="s">
        <v>498</v>
      </c>
      <c r="J392">
        <v>6810</v>
      </c>
      <c r="K392" t="s">
        <v>60</v>
      </c>
      <c r="L392" t="s">
        <v>1430</v>
      </c>
      <c r="M392" t="s">
        <v>48</v>
      </c>
      <c r="N392" t="s">
        <v>49</v>
      </c>
      <c r="O392" t="s">
        <v>1431</v>
      </c>
      <c r="P392">
        <v>27.46</v>
      </c>
      <c r="Q392">
        <v>2</v>
      </c>
      <c r="R392">
        <v>0</v>
      </c>
      <c r="S392">
        <v>9.8856000000000002</v>
      </c>
    </row>
    <row r="393" spans="1:19" x14ac:dyDescent="0.25">
      <c r="A393" t="s">
        <v>1432</v>
      </c>
      <c r="B393" s="4">
        <v>44273</v>
      </c>
      <c r="C393" t="s">
        <v>55</v>
      </c>
      <c r="D393" t="s">
        <v>1433</v>
      </c>
      <c r="E393" t="s">
        <v>1434</v>
      </c>
      <c r="F393" t="s">
        <v>218</v>
      </c>
      <c r="G393" t="s">
        <v>39</v>
      </c>
      <c r="H393" t="s">
        <v>128</v>
      </c>
      <c r="I393" t="s">
        <v>83</v>
      </c>
      <c r="J393">
        <v>94110</v>
      </c>
      <c r="K393" t="s">
        <v>84</v>
      </c>
      <c r="L393" t="s">
        <v>1435</v>
      </c>
      <c r="M393" t="s">
        <v>44</v>
      </c>
      <c r="N393" t="s">
        <v>175</v>
      </c>
      <c r="O393" t="s">
        <v>1436</v>
      </c>
      <c r="P393">
        <v>5.76</v>
      </c>
      <c r="Q393">
        <v>2</v>
      </c>
      <c r="R393">
        <v>0</v>
      </c>
      <c r="S393">
        <v>1.6703999999999999</v>
      </c>
    </row>
    <row r="394" spans="1:19" x14ac:dyDescent="0.25">
      <c r="A394" t="s">
        <v>1437</v>
      </c>
      <c r="B394" s="4">
        <v>44259</v>
      </c>
      <c r="C394" t="s">
        <v>55</v>
      </c>
      <c r="D394" t="s">
        <v>1438</v>
      </c>
      <c r="E394" t="s">
        <v>1439</v>
      </c>
      <c r="F394" t="s">
        <v>66</v>
      </c>
      <c r="G394" t="s">
        <v>39</v>
      </c>
      <c r="H394" t="s">
        <v>430</v>
      </c>
      <c r="I394" t="s">
        <v>431</v>
      </c>
      <c r="J394">
        <v>7501</v>
      </c>
      <c r="K394" t="s">
        <v>60</v>
      </c>
      <c r="L394" t="s">
        <v>1440</v>
      </c>
      <c r="M394" t="s">
        <v>48</v>
      </c>
      <c r="N394" t="s">
        <v>49</v>
      </c>
      <c r="O394" t="s">
        <v>1441</v>
      </c>
      <c r="P394">
        <v>12.99</v>
      </c>
      <c r="Q394">
        <v>1</v>
      </c>
      <c r="R394">
        <v>0</v>
      </c>
      <c r="S394">
        <v>1.5587999999999997</v>
      </c>
    </row>
    <row r="395" spans="1:19" x14ac:dyDescent="0.25">
      <c r="A395" t="s">
        <v>1437</v>
      </c>
      <c r="B395" s="4">
        <v>44259</v>
      </c>
      <c r="C395" t="s">
        <v>55</v>
      </c>
      <c r="D395" t="s">
        <v>1438</v>
      </c>
      <c r="E395" t="s">
        <v>1439</v>
      </c>
      <c r="F395" t="s">
        <v>66</v>
      </c>
      <c r="G395" t="s">
        <v>39</v>
      </c>
      <c r="H395" t="s">
        <v>430</v>
      </c>
      <c r="I395" t="s">
        <v>431</v>
      </c>
      <c r="J395">
        <v>7501</v>
      </c>
      <c r="K395" t="s">
        <v>60</v>
      </c>
      <c r="L395" t="s">
        <v>634</v>
      </c>
      <c r="M395" t="s">
        <v>48</v>
      </c>
      <c r="N395" t="s">
        <v>168</v>
      </c>
      <c r="O395" t="s">
        <v>635</v>
      </c>
      <c r="P395">
        <v>182.22</v>
      </c>
      <c r="Q395">
        <v>3</v>
      </c>
      <c r="R395">
        <v>0</v>
      </c>
      <c r="S395">
        <v>45.555000000000007</v>
      </c>
    </row>
    <row r="396" spans="1:19" x14ac:dyDescent="0.25">
      <c r="A396" t="s">
        <v>1437</v>
      </c>
      <c r="B396" s="4">
        <v>44259</v>
      </c>
      <c r="C396" t="s">
        <v>55</v>
      </c>
      <c r="D396" t="s">
        <v>1438</v>
      </c>
      <c r="E396" t="s">
        <v>1439</v>
      </c>
      <c r="F396" t="s">
        <v>66</v>
      </c>
      <c r="G396" t="s">
        <v>39</v>
      </c>
      <c r="H396" t="s">
        <v>430</v>
      </c>
      <c r="I396" t="s">
        <v>431</v>
      </c>
      <c r="J396">
        <v>7501</v>
      </c>
      <c r="K396" t="s">
        <v>60</v>
      </c>
      <c r="L396" t="s">
        <v>1442</v>
      </c>
      <c r="M396" t="s">
        <v>48</v>
      </c>
      <c r="N396" t="s">
        <v>168</v>
      </c>
      <c r="O396" t="s">
        <v>1443</v>
      </c>
      <c r="P396">
        <v>302.94</v>
      </c>
      <c r="Q396">
        <v>3</v>
      </c>
      <c r="R396">
        <v>0</v>
      </c>
      <c r="S396">
        <v>18.176399999999973</v>
      </c>
    </row>
    <row r="397" spans="1:19" x14ac:dyDescent="0.25">
      <c r="A397" t="s">
        <v>1444</v>
      </c>
      <c r="B397" s="4">
        <v>44277</v>
      </c>
      <c r="C397" t="s">
        <v>55</v>
      </c>
      <c r="D397" t="s">
        <v>1445</v>
      </c>
      <c r="E397" t="s">
        <v>1446</v>
      </c>
      <c r="F397" t="s">
        <v>66</v>
      </c>
      <c r="G397" t="s">
        <v>39</v>
      </c>
      <c r="H397" t="s">
        <v>483</v>
      </c>
      <c r="I397" t="s">
        <v>1134</v>
      </c>
      <c r="J397">
        <v>55901</v>
      </c>
      <c r="K397" t="s">
        <v>42</v>
      </c>
      <c r="L397" t="s">
        <v>1447</v>
      </c>
      <c r="M397" t="s">
        <v>48</v>
      </c>
      <c r="N397" t="s">
        <v>155</v>
      </c>
      <c r="O397" t="s">
        <v>1448</v>
      </c>
      <c r="P397">
        <v>607.52</v>
      </c>
      <c r="Q397">
        <v>2</v>
      </c>
      <c r="R397">
        <v>0</v>
      </c>
      <c r="S397">
        <v>97.203200000000038</v>
      </c>
    </row>
    <row r="398" spans="1:19" x14ac:dyDescent="0.25">
      <c r="A398" t="s">
        <v>1444</v>
      </c>
      <c r="B398" s="4">
        <v>44277</v>
      </c>
      <c r="C398" t="s">
        <v>55</v>
      </c>
      <c r="D398" t="s">
        <v>1445</v>
      </c>
      <c r="E398" t="s">
        <v>1446</v>
      </c>
      <c r="F398" t="s">
        <v>66</v>
      </c>
      <c r="G398" t="s">
        <v>39</v>
      </c>
      <c r="H398" t="s">
        <v>483</v>
      </c>
      <c r="I398" t="s">
        <v>1134</v>
      </c>
      <c r="J398">
        <v>55901</v>
      </c>
      <c r="K398" t="s">
        <v>42</v>
      </c>
      <c r="L398" t="s">
        <v>832</v>
      </c>
      <c r="M398" t="s">
        <v>44</v>
      </c>
      <c r="N398" t="s">
        <v>52</v>
      </c>
      <c r="O398" t="s">
        <v>833</v>
      </c>
      <c r="P398">
        <v>31.16</v>
      </c>
      <c r="Q398">
        <v>2</v>
      </c>
      <c r="R398">
        <v>0</v>
      </c>
      <c r="S398">
        <v>7.7899999999999991</v>
      </c>
    </row>
    <row r="399" spans="1:19" x14ac:dyDescent="0.25">
      <c r="A399" t="s">
        <v>1449</v>
      </c>
      <c r="B399" s="4">
        <v>44264</v>
      </c>
      <c r="C399" t="s">
        <v>55</v>
      </c>
      <c r="D399" t="s">
        <v>1450</v>
      </c>
      <c r="E399" t="s">
        <v>1451</v>
      </c>
      <c r="F399" t="s">
        <v>66</v>
      </c>
      <c r="G399" t="s">
        <v>39</v>
      </c>
      <c r="H399" t="s">
        <v>323</v>
      </c>
      <c r="I399" t="s">
        <v>324</v>
      </c>
      <c r="J399">
        <v>19134</v>
      </c>
      <c r="K399" t="s">
        <v>60</v>
      </c>
      <c r="L399" t="s">
        <v>1399</v>
      </c>
      <c r="M399" t="s">
        <v>44</v>
      </c>
      <c r="N399" t="s">
        <v>45</v>
      </c>
      <c r="O399" t="s">
        <v>1400</v>
      </c>
      <c r="P399">
        <v>11.088000000000003</v>
      </c>
      <c r="Q399">
        <v>7</v>
      </c>
      <c r="R399">
        <v>0.7</v>
      </c>
      <c r="S399">
        <v>-8.1311999999999998</v>
      </c>
    </row>
    <row r="400" spans="1:19" x14ac:dyDescent="0.25">
      <c r="A400" t="s">
        <v>1452</v>
      </c>
      <c r="B400" s="4">
        <v>44257</v>
      </c>
      <c r="C400" t="s">
        <v>238</v>
      </c>
      <c r="D400" t="s">
        <v>520</v>
      </c>
      <c r="E400" t="s">
        <v>521</v>
      </c>
      <c r="F400" t="s">
        <v>66</v>
      </c>
      <c r="G400" t="s">
        <v>39</v>
      </c>
      <c r="H400" t="s">
        <v>1193</v>
      </c>
      <c r="I400" t="s">
        <v>971</v>
      </c>
      <c r="J400">
        <v>85345</v>
      </c>
      <c r="K400" t="s">
        <v>84</v>
      </c>
      <c r="L400" t="s">
        <v>906</v>
      </c>
      <c r="M400" t="s">
        <v>44</v>
      </c>
      <c r="N400" t="s">
        <v>45</v>
      </c>
      <c r="O400" t="s">
        <v>907</v>
      </c>
      <c r="P400">
        <v>67.860000000000014</v>
      </c>
      <c r="Q400">
        <v>6</v>
      </c>
      <c r="R400">
        <v>0.7</v>
      </c>
      <c r="S400">
        <v>-45.239999999999995</v>
      </c>
    </row>
    <row r="401" spans="1:19" x14ac:dyDescent="0.25">
      <c r="A401" t="s">
        <v>1453</v>
      </c>
      <c r="B401" s="4">
        <v>44263</v>
      </c>
      <c r="C401" t="s">
        <v>35</v>
      </c>
      <c r="D401" t="s">
        <v>1454</v>
      </c>
      <c r="E401" t="s">
        <v>1455</v>
      </c>
      <c r="F401" t="s">
        <v>66</v>
      </c>
      <c r="G401" t="s">
        <v>39</v>
      </c>
      <c r="H401" t="s">
        <v>323</v>
      </c>
      <c r="I401" t="s">
        <v>324</v>
      </c>
      <c r="J401">
        <v>19140</v>
      </c>
      <c r="K401" t="s">
        <v>60</v>
      </c>
      <c r="L401" t="s">
        <v>565</v>
      </c>
      <c r="M401" t="s">
        <v>44</v>
      </c>
      <c r="N401" t="s">
        <v>175</v>
      </c>
      <c r="O401" t="s">
        <v>566</v>
      </c>
      <c r="P401">
        <v>13.247999999999999</v>
      </c>
      <c r="Q401">
        <v>4</v>
      </c>
      <c r="R401">
        <v>0.2</v>
      </c>
      <c r="S401">
        <v>3.6431999999999998</v>
      </c>
    </row>
    <row r="402" spans="1:19" x14ac:dyDescent="0.25">
      <c r="A402" t="s">
        <v>1453</v>
      </c>
      <c r="B402" s="4">
        <v>44263</v>
      </c>
      <c r="C402" t="s">
        <v>35</v>
      </c>
      <c r="D402" t="s">
        <v>1454</v>
      </c>
      <c r="E402" t="s">
        <v>1455</v>
      </c>
      <c r="F402" t="s">
        <v>66</v>
      </c>
      <c r="G402" t="s">
        <v>39</v>
      </c>
      <c r="H402" t="s">
        <v>323</v>
      </c>
      <c r="I402" t="s">
        <v>324</v>
      </c>
      <c r="J402">
        <v>19140</v>
      </c>
      <c r="K402" t="s">
        <v>60</v>
      </c>
      <c r="L402" t="s">
        <v>1456</v>
      </c>
      <c r="M402" t="s">
        <v>86</v>
      </c>
      <c r="N402" t="s">
        <v>87</v>
      </c>
      <c r="O402" t="s">
        <v>1457</v>
      </c>
      <c r="P402">
        <v>83.987999999999985</v>
      </c>
      <c r="Q402">
        <v>2</v>
      </c>
      <c r="R402">
        <v>0.4</v>
      </c>
      <c r="S402">
        <v>-20.996999999999993</v>
      </c>
    </row>
    <row r="403" spans="1:19" x14ac:dyDescent="0.25">
      <c r="A403" t="s">
        <v>1458</v>
      </c>
      <c r="B403" s="4">
        <v>44268</v>
      </c>
      <c r="C403" t="s">
        <v>55</v>
      </c>
      <c r="D403" t="s">
        <v>1459</v>
      </c>
      <c r="E403" t="s">
        <v>1460</v>
      </c>
      <c r="F403" t="s">
        <v>38</v>
      </c>
      <c r="G403" t="s">
        <v>39</v>
      </c>
      <c r="H403" t="s">
        <v>58</v>
      </c>
      <c r="I403" t="s">
        <v>59</v>
      </c>
      <c r="J403">
        <v>10024</v>
      </c>
      <c r="K403" t="s">
        <v>60</v>
      </c>
      <c r="L403" t="s">
        <v>235</v>
      </c>
      <c r="M403" t="s">
        <v>48</v>
      </c>
      <c r="N403" t="s">
        <v>165</v>
      </c>
      <c r="O403" t="s">
        <v>236</v>
      </c>
      <c r="P403">
        <v>287.976</v>
      </c>
      <c r="Q403">
        <v>3</v>
      </c>
      <c r="R403">
        <v>0.2</v>
      </c>
      <c r="S403">
        <v>7.1993999999999687</v>
      </c>
    </row>
    <row r="404" spans="1:19" x14ac:dyDescent="0.25">
      <c r="A404" t="s">
        <v>1461</v>
      </c>
      <c r="B404" s="4">
        <v>44273</v>
      </c>
      <c r="C404" t="s">
        <v>55</v>
      </c>
      <c r="D404" t="s">
        <v>1462</v>
      </c>
      <c r="E404" t="s">
        <v>1463</v>
      </c>
      <c r="F404" t="s">
        <v>66</v>
      </c>
      <c r="G404" t="s">
        <v>39</v>
      </c>
      <c r="H404" t="s">
        <v>219</v>
      </c>
      <c r="I404" t="s">
        <v>119</v>
      </c>
      <c r="J404">
        <v>43229</v>
      </c>
      <c r="K404" t="s">
        <v>60</v>
      </c>
      <c r="L404" t="s">
        <v>1464</v>
      </c>
      <c r="M404" t="s">
        <v>44</v>
      </c>
      <c r="N404" t="s">
        <v>45</v>
      </c>
      <c r="O404" t="s">
        <v>1465</v>
      </c>
      <c r="P404">
        <v>7.2359999999999998</v>
      </c>
      <c r="Q404">
        <v>3</v>
      </c>
      <c r="R404">
        <v>0.7</v>
      </c>
      <c r="S404">
        <v>-6.0299999999999976</v>
      </c>
    </row>
    <row r="405" spans="1:19" x14ac:dyDescent="0.25">
      <c r="A405" t="s">
        <v>1461</v>
      </c>
      <c r="B405" s="4">
        <v>44273</v>
      </c>
      <c r="C405" t="s">
        <v>55</v>
      </c>
      <c r="D405" t="s">
        <v>1462</v>
      </c>
      <c r="E405" t="s">
        <v>1463</v>
      </c>
      <c r="F405" t="s">
        <v>66</v>
      </c>
      <c r="G405" t="s">
        <v>39</v>
      </c>
      <c r="H405" t="s">
        <v>219</v>
      </c>
      <c r="I405" t="s">
        <v>119</v>
      </c>
      <c r="J405">
        <v>43229</v>
      </c>
      <c r="K405" t="s">
        <v>60</v>
      </c>
      <c r="L405" t="s">
        <v>613</v>
      </c>
      <c r="M405" t="s">
        <v>44</v>
      </c>
      <c r="N405" t="s">
        <v>101</v>
      </c>
      <c r="O405" t="s">
        <v>614</v>
      </c>
      <c r="P405">
        <v>4.8239999999999998</v>
      </c>
      <c r="Q405">
        <v>3</v>
      </c>
      <c r="R405">
        <v>0.2</v>
      </c>
      <c r="S405">
        <v>1.7486999999999999</v>
      </c>
    </row>
    <row r="406" spans="1:19" x14ac:dyDescent="0.25">
      <c r="A406" t="s">
        <v>1461</v>
      </c>
      <c r="B406" s="4">
        <v>44273</v>
      </c>
      <c r="C406" t="s">
        <v>55</v>
      </c>
      <c r="D406" t="s">
        <v>1462</v>
      </c>
      <c r="E406" t="s">
        <v>1463</v>
      </c>
      <c r="F406" t="s">
        <v>66</v>
      </c>
      <c r="G406" t="s">
        <v>39</v>
      </c>
      <c r="H406" t="s">
        <v>219</v>
      </c>
      <c r="I406" t="s">
        <v>119</v>
      </c>
      <c r="J406">
        <v>43229</v>
      </c>
      <c r="K406" t="s">
        <v>60</v>
      </c>
      <c r="L406" t="s">
        <v>1466</v>
      </c>
      <c r="M406" t="s">
        <v>44</v>
      </c>
      <c r="N406" t="s">
        <v>152</v>
      </c>
      <c r="O406" t="s">
        <v>1467</v>
      </c>
      <c r="P406">
        <v>91.360000000000014</v>
      </c>
      <c r="Q406">
        <v>5</v>
      </c>
      <c r="R406">
        <v>0.2</v>
      </c>
      <c r="S406">
        <v>29.691999999999993</v>
      </c>
    </row>
    <row r="407" spans="1:19" x14ac:dyDescent="0.25">
      <c r="A407" t="s">
        <v>1461</v>
      </c>
      <c r="B407" s="4">
        <v>44273</v>
      </c>
      <c r="C407" t="s">
        <v>55</v>
      </c>
      <c r="D407" t="s">
        <v>1462</v>
      </c>
      <c r="E407" t="s">
        <v>1463</v>
      </c>
      <c r="F407" t="s">
        <v>66</v>
      </c>
      <c r="G407" t="s">
        <v>39</v>
      </c>
      <c r="H407" t="s">
        <v>219</v>
      </c>
      <c r="I407" t="s">
        <v>119</v>
      </c>
      <c r="J407">
        <v>43229</v>
      </c>
      <c r="K407" t="s">
        <v>60</v>
      </c>
      <c r="L407" t="s">
        <v>1468</v>
      </c>
      <c r="M407" t="s">
        <v>44</v>
      </c>
      <c r="N407" t="s">
        <v>70</v>
      </c>
      <c r="O407" t="s">
        <v>1469</v>
      </c>
      <c r="P407">
        <v>130.11199999999999</v>
      </c>
      <c r="Q407">
        <v>2</v>
      </c>
      <c r="R407">
        <v>0.2</v>
      </c>
      <c r="S407">
        <v>13.011199999999995</v>
      </c>
    </row>
    <row r="408" spans="1:19" x14ac:dyDescent="0.25">
      <c r="A408" t="s">
        <v>1470</v>
      </c>
      <c r="B408" s="4">
        <v>44279</v>
      </c>
      <c r="C408" t="s">
        <v>55</v>
      </c>
      <c r="D408" t="s">
        <v>1471</v>
      </c>
      <c r="E408" t="s">
        <v>1472</v>
      </c>
      <c r="F408" t="s">
        <v>38</v>
      </c>
      <c r="G408" t="s">
        <v>39</v>
      </c>
      <c r="H408" t="s">
        <v>1473</v>
      </c>
      <c r="I408" t="s">
        <v>1474</v>
      </c>
      <c r="J408">
        <v>83642</v>
      </c>
      <c r="K408" t="s">
        <v>84</v>
      </c>
      <c r="L408" t="s">
        <v>1475</v>
      </c>
      <c r="M408" t="s">
        <v>44</v>
      </c>
      <c r="N408" t="s">
        <v>45</v>
      </c>
      <c r="O408" t="s">
        <v>1476</v>
      </c>
      <c r="P408">
        <v>21.312000000000005</v>
      </c>
      <c r="Q408">
        <v>3</v>
      </c>
      <c r="R408">
        <v>0.2</v>
      </c>
      <c r="S408">
        <v>7.9919999999999991</v>
      </c>
    </row>
    <row r="409" spans="1:19" x14ac:dyDescent="0.25">
      <c r="A409" t="s">
        <v>1477</v>
      </c>
      <c r="B409" s="4">
        <v>44256</v>
      </c>
      <c r="C409" t="s">
        <v>55</v>
      </c>
      <c r="D409" t="s">
        <v>1478</v>
      </c>
      <c r="E409" t="s">
        <v>1479</v>
      </c>
      <c r="F409" t="s">
        <v>38</v>
      </c>
      <c r="G409" t="s">
        <v>39</v>
      </c>
      <c r="H409" t="s">
        <v>531</v>
      </c>
      <c r="I409" t="s">
        <v>532</v>
      </c>
      <c r="J409">
        <v>98105</v>
      </c>
      <c r="K409" t="s">
        <v>84</v>
      </c>
      <c r="L409" t="s">
        <v>675</v>
      </c>
      <c r="M409" t="s">
        <v>44</v>
      </c>
      <c r="N409" t="s">
        <v>45</v>
      </c>
      <c r="O409" t="s">
        <v>676</v>
      </c>
      <c r="P409">
        <v>15.920000000000002</v>
      </c>
      <c r="Q409">
        <v>5</v>
      </c>
      <c r="R409">
        <v>0.2</v>
      </c>
      <c r="S409">
        <v>5.3729999999999993</v>
      </c>
    </row>
    <row r="410" spans="1:19" x14ac:dyDescent="0.25">
      <c r="A410" t="s">
        <v>1477</v>
      </c>
      <c r="B410" s="4">
        <v>44256</v>
      </c>
      <c r="C410" t="s">
        <v>55</v>
      </c>
      <c r="D410" t="s">
        <v>1478</v>
      </c>
      <c r="E410" t="s">
        <v>1479</v>
      </c>
      <c r="F410" t="s">
        <v>38</v>
      </c>
      <c r="G410" t="s">
        <v>39</v>
      </c>
      <c r="H410" t="s">
        <v>531</v>
      </c>
      <c r="I410" t="s">
        <v>532</v>
      </c>
      <c r="J410">
        <v>98105</v>
      </c>
      <c r="K410" t="s">
        <v>84</v>
      </c>
      <c r="L410" t="s">
        <v>1480</v>
      </c>
      <c r="M410" t="s">
        <v>48</v>
      </c>
      <c r="N410" t="s">
        <v>49</v>
      </c>
      <c r="O410" t="s">
        <v>1481</v>
      </c>
      <c r="P410">
        <v>70.679999999999993</v>
      </c>
      <c r="Q410">
        <v>12</v>
      </c>
      <c r="R410">
        <v>0</v>
      </c>
      <c r="S410">
        <v>31.099200000000003</v>
      </c>
    </row>
    <row r="411" spans="1:19" x14ac:dyDescent="0.25">
      <c r="A411" t="s">
        <v>1477</v>
      </c>
      <c r="B411" s="4">
        <v>44256</v>
      </c>
      <c r="C411" t="s">
        <v>55</v>
      </c>
      <c r="D411" t="s">
        <v>1478</v>
      </c>
      <c r="E411" t="s">
        <v>1479</v>
      </c>
      <c r="F411" t="s">
        <v>38</v>
      </c>
      <c r="G411" t="s">
        <v>39</v>
      </c>
      <c r="H411" t="s">
        <v>531</v>
      </c>
      <c r="I411" t="s">
        <v>532</v>
      </c>
      <c r="J411">
        <v>98105</v>
      </c>
      <c r="K411" t="s">
        <v>84</v>
      </c>
      <c r="L411" t="s">
        <v>1061</v>
      </c>
      <c r="M411" t="s">
        <v>44</v>
      </c>
      <c r="N411" t="s">
        <v>52</v>
      </c>
      <c r="O411" t="s">
        <v>1062</v>
      </c>
      <c r="P411">
        <v>541.24</v>
      </c>
      <c r="Q411">
        <v>4</v>
      </c>
      <c r="R411">
        <v>0</v>
      </c>
      <c r="S411">
        <v>5.4124000000000478</v>
      </c>
    </row>
    <row r="412" spans="1:19" x14ac:dyDescent="0.25">
      <c r="A412" t="s">
        <v>1482</v>
      </c>
      <c r="B412" s="4">
        <v>44256</v>
      </c>
      <c r="C412" t="s">
        <v>55</v>
      </c>
      <c r="D412" t="s">
        <v>1483</v>
      </c>
      <c r="E412" t="s">
        <v>1484</v>
      </c>
      <c r="F412" t="s">
        <v>218</v>
      </c>
      <c r="G412" t="s">
        <v>39</v>
      </c>
      <c r="H412" t="s">
        <v>872</v>
      </c>
      <c r="I412" t="s">
        <v>83</v>
      </c>
      <c r="J412">
        <v>95207</v>
      </c>
      <c r="K412" t="s">
        <v>84</v>
      </c>
      <c r="L412" t="s">
        <v>1485</v>
      </c>
      <c r="M412" t="s">
        <v>48</v>
      </c>
      <c r="N412" t="s">
        <v>49</v>
      </c>
      <c r="O412" t="s">
        <v>1486</v>
      </c>
      <c r="P412">
        <v>629.64</v>
      </c>
      <c r="Q412">
        <v>9</v>
      </c>
      <c r="R412">
        <v>0</v>
      </c>
      <c r="S412">
        <v>107.03879999999994</v>
      </c>
    </row>
    <row r="413" spans="1:19" x14ac:dyDescent="0.25">
      <c r="A413" t="s">
        <v>1487</v>
      </c>
      <c r="B413" s="4">
        <v>44273</v>
      </c>
      <c r="C413" t="s">
        <v>55</v>
      </c>
      <c r="D413" t="s">
        <v>1488</v>
      </c>
      <c r="E413" t="s">
        <v>1489</v>
      </c>
      <c r="F413" t="s">
        <v>38</v>
      </c>
      <c r="G413" t="s">
        <v>39</v>
      </c>
      <c r="H413" t="s">
        <v>1490</v>
      </c>
      <c r="I413" t="s">
        <v>1038</v>
      </c>
      <c r="J413">
        <v>53209</v>
      </c>
      <c r="K413" t="s">
        <v>42</v>
      </c>
      <c r="L413" t="s">
        <v>1491</v>
      </c>
      <c r="M413" t="s">
        <v>48</v>
      </c>
      <c r="N413" t="s">
        <v>49</v>
      </c>
      <c r="O413" t="s">
        <v>1492</v>
      </c>
      <c r="P413">
        <v>99.949999999999989</v>
      </c>
      <c r="Q413">
        <v>5</v>
      </c>
      <c r="R413">
        <v>0</v>
      </c>
      <c r="S413">
        <v>22.988499999999998</v>
      </c>
    </row>
    <row r="414" spans="1:19" x14ac:dyDescent="0.25">
      <c r="A414" t="s">
        <v>1487</v>
      </c>
      <c r="B414" s="4">
        <v>44273</v>
      </c>
      <c r="C414" t="s">
        <v>55</v>
      </c>
      <c r="D414" t="s">
        <v>1488</v>
      </c>
      <c r="E414" t="s">
        <v>1489</v>
      </c>
      <c r="F414" t="s">
        <v>38</v>
      </c>
      <c r="G414" t="s">
        <v>39</v>
      </c>
      <c r="H414" t="s">
        <v>1490</v>
      </c>
      <c r="I414" t="s">
        <v>1038</v>
      </c>
      <c r="J414">
        <v>53209</v>
      </c>
      <c r="K414" t="s">
        <v>42</v>
      </c>
      <c r="L414" t="s">
        <v>1493</v>
      </c>
      <c r="M414" t="s">
        <v>86</v>
      </c>
      <c r="N414" t="s">
        <v>109</v>
      </c>
      <c r="O414" t="s">
        <v>1494</v>
      </c>
      <c r="P414">
        <v>29.339999999999996</v>
      </c>
      <c r="Q414">
        <v>3</v>
      </c>
      <c r="R414">
        <v>0</v>
      </c>
      <c r="S414">
        <v>10.855799999999999</v>
      </c>
    </row>
    <row r="415" spans="1:19" x14ac:dyDescent="0.25">
      <c r="A415" t="s">
        <v>1495</v>
      </c>
      <c r="B415" s="4">
        <v>44279</v>
      </c>
      <c r="C415" t="s">
        <v>55</v>
      </c>
      <c r="D415" t="s">
        <v>1177</v>
      </c>
      <c r="E415" t="s">
        <v>1178</v>
      </c>
      <c r="F415" t="s">
        <v>38</v>
      </c>
      <c r="G415" t="s">
        <v>39</v>
      </c>
      <c r="H415" t="s">
        <v>1052</v>
      </c>
      <c r="I415" t="s">
        <v>1053</v>
      </c>
      <c r="J415">
        <v>2740</v>
      </c>
      <c r="K415" t="s">
        <v>60</v>
      </c>
      <c r="L415" t="s">
        <v>939</v>
      </c>
      <c r="M415" t="s">
        <v>44</v>
      </c>
      <c r="N415" t="s">
        <v>152</v>
      </c>
      <c r="O415" t="s">
        <v>940</v>
      </c>
      <c r="P415">
        <v>19.440000000000001</v>
      </c>
      <c r="Q415">
        <v>3</v>
      </c>
      <c r="R415">
        <v>0</v>
      </c>
      <c r="S415">
        <v>9.3312000000000008</v>
      </c>
    </row>
    <row r="416" spans="1:19" x14ac:dyDescent="0.25">
      <c r="A416" t="s">
        <v>1495</v>
      </c>
      <c r="B416" s="4">
        <v>44279</v>
      </c>
      <c r="C416" t="s">
        <v>55</v>
      </c>
      <c r="D416" t="s">
        <v>1177</v>
      </c>
      <c r="E416" t="s">
        <v>1178</v>
      </c>
      <c r="F416" t="s">
        <v>38</v>
      </c>
      <c r="G416" t="s">
        <v>39</v>
      </c>
      <c r="H416" t="s">
        <v>1052</v>
      </c>
      <c r="I416" t="s">
        <v>1053</v>
      </c>
      <c r="J416">
        <v>2740</v>
      </c>
      <c r="K416" t="s">
        <v>60</v>
      </c>
      <c r="L416" t="s">
        <v>1496</v>
      </c>
      <c r="M416" t="s">
        <v>44</v>
      </c>
      <c r="N416" t="s">
        <v>45</v>
      </c>
      <c r="O416" t="s">
        <v>1497</v>
      </c>
      <c r="P416">
        <v>12.3</v>
      </c>
      <c r="Q416">
        <v>5</v>
      </c>
      <c r="R416">
        <v>0</v>
      </c>
      <c r="S416">
        <v>6.15</v>
      </c>
    </row>
    <row r="417" spans="1:19" x14ac:dyDescent="0.25">
      <c r="A417" t="s">
        <v>1498</v>
      </c>
      <c r="B417" s="4">
        <v>44277</v>
      </c>
      <c r="C417" t="s">
        <v>55</v>
      </c>
      <c r="D417" t="s">
        <v>1499</v>
      </c>
      <c r="E417" t="s">
        <v>1500</v>
      </c>
      <c r="F417" t="s">
        <v>66</v>
      </c>
      <c r="G417" t="s">
        <v>39</v>
      </c>
      <c r="H417" t="s">
        <v>749</v>
      </c>
      <c r="I417" t="s">
        <v>847</v>
      </c>
      <c r="J417">
        <v>38301</v>
      </c>
      <c r="K417" t="s">
        <v>406</v>
      </c>
      <c r="L417" t="s">
        <v>1501</v>
      </c>
      <c r="M417" t="s">
        <v>48</v>
      </c>
      <c r="N417" t="s">
        <v>155</v>
      </c>
      <c r="O417" t="s">
        <v>1502</v>
      </c>
      <c r="P417">
        <v>934.9559999999999</v>
      </c>
      <c r="Q417">
        <v>6</v>
      </c>
      <c r="R417">
        <v>0.4</v>
      </c>
      <c r="S417">
        <v>-249.32159999999999</v>
      </c>
    </row>
    <row r="418" spans="1:19" x14ac:dyDescent="0.25">
      <c r="A418" t="s">
        <v>1498</v>
      </c>
      <c r="B418" s="4">
        <v>44277</v>
      </c>
      <c r="C418" t="s">
        <v>55</v>
      </c>
      <c r="D418" t="s">
        <v>1499</v>
      </c>
      <c r="E418" t="s">
        <v>1500</v>
      </c>
      <c r="F418" t="s">
        <v>66</v>
      </c>
      <c r="G418" t="s">
        <v>39</v>
      </c>
      <c r="H418" t="s">
        <v>749</v>
      </c>
      <c r="I418" t="s">
        <v>847</v>
      </c>
      <c r="J418">
        <v>38301</v>
      </c>
      <c r="K418" t="s">
        <v>406</v>
      </c>
      <c r="L418" t="s">
        <v>478</v>
      </c>
      <c r="M418" t="s">
        <v>86</v>
      </c>
      <c r="N418" t="s">
        <v>109</v>
      </c>
      <c r="O418" t="s">
        <v>479</v>
      </c>
      <c r="P418">
        <v>46.864000000000004</v>
      </c>
      <c r="Q418">
        <v>2</v>
      </c>
      <c r="R418">
        <v>0.2</v>
      </c>
      <c r="S418">
        <v>7.615399999999994</v>
      </c>
    </row>
    <row r="419" spans="1:19" x14ac:dyDescent="0.25">
      <c r="A419" t="s">
        <v>1498</v>
      </c>
      <c r="B419" s="4">
        <v>44277</v>
      </c>
      <c r="C419" t="s">
        <v>55</v>
      </c>
      <c r="D419" t="s">
        <v>1499</v>
      </c>
      <c r="E419" t="s">
        <v>1500</v>
      </c>
      <c r="F419" t="s">
        <v>66</v>
      </c>
      <c r="G419" t="s">
        <v>39</v>
      </c>
      <c r="H419" t="s">
        <v>749</v>
      </c>
      <c r="I419" t="s">
        <v>847</v>
      </c>
      <c r="J419">
        <v>38301</v>
      </c>
      <c r="K419" t="s">
        <v>406</v>
      </c>
      <c r="L419" t="s">
        <v>1503</v>
      </c>
      <c r="M419" t="s">
        <v>44</v>
      </c>
      <c r="N419" t="s">
        <v>52</v>
      </c>
      <c r="O419" t="s">
        <v>1504</v>
      </c>
      <c r="P419">
        <v>26.160000000000004</v>
      </c>
      <c r="Q419">
        <v>3</v>
      </c>
      <c r="R419">
        <v>0.2</v>
      </c>
      <c r="S419">
        <v>1.961999999999998</v>
      </c>
    </row>
    <row r="420" spans="1:19" x14ac:dyDescent="0.25">
      <c r="A420" t="s">
        <v>1498</v>
      </c>
      <c r="B420" s="4">
        <v>44277</v>
      </c>
      <c r="C420" t="s">
        <v>55</v>
      </c>
      <c r="D420" t="s">
        <v>1499</v>
      </c>
      <c r="E420" t="s">
        <v>1500</v>
      </c>
      <c r="F420" t="s">
        <v>66</v>
      </c>
      <c r="G420" t="s">
        <v>39</v>
      </c>
      <c r="H420" t="s">
        <v>749</v>
      </c>
      <c r="I420" t="s">
        <v>847</v>
      </c>
      <c r="J420">
        <v>38301</v>
      </c>
      <c r="K420" t="s">
        <v>406</v>
      </c>
      <c r="L420" t="s">
        <v>1505</v>
      </c>
      <c r="M420" t="s">
        <v>44</v>
      </c>
      <c r="N420" t="s">
        <v>175</v>
      </c>
      <c r="O420" t="s">
        <v>1506</v>
      </c>
      <c r="P420">
        <v>23.128</v>
      </c>
      <c r="Q420">
        <v>7</v>
      </c>
      <c r="R420">
        <v>0.2</v>
      </c>
      <c r="S420">
        <v>2.8909999999999982</v>
      </c>
    </row>
    <row r="421" spans="1:19" x14ac:dyDescent="0.25">
      <c r="A421" t="s">
        <v>1498</v>
      </c>
      <c r="B421" s="4">
        <v>44277</v>
      </c>
      <c r="C421" t="s">
        <v>55</v>
      </c>
      <c r="D421" t="s">
        <v>1499</v>
      </c>
      <c r="E421" t="s">
        <v>1500</v>
      </c>
      <c r="F421" t="s">
        <v>66</v>
      </c>
      <c r="G421" t="s">
        <v>39</v>
      </c>
      <c r="H421" t="s">
        <v>749</v>
      </c>
      <c r="I421" t="s">
        <v>847</v>
      </c>
      <c r="J421">
        <v>38301</v>
      </c>
      <c r="K421" t="s">
        <v>406</v>
      </c>
      <c r="L421" t="s">
        <v>1507</v>
      </c>
      <c r="M421" t="s">
        <v>44</v>
      </c>
      <c r="N421" t="s">
        <v>70</v>
      </c>
      <c r="O421" t="s">
        <v>1508</v>
      </c>
      <c r="P421">
        <v>59.24</v>
      </c>
      <c r="Q421">
        <v>5</v>
      </c>
      <c r="R421">
        <v>0.2</v>
      </c>
      <c r="S421">
        <v>16.290999999999997</v>
      </c>
    </row>
    <row r="422" spans="1:19" x14ac:dyDescent="0.25">
      <c r="A422" t="s">
        <v>1509</v>
      </c>
      <c r="B422" s="4">
        <v>44280</v>
      </c>
      <c r="C422" t="s">
        <v>35</v>
      </c>
      <c r="D422" t="s">
        <v>1510</v>
      </c>
      <c r="E422" t="s">
        <v>1511</v>
      </c>
      <c r="F422" t="s">
        <v>66</v>
      </c>
      <c r="G422" t="s">
        <v>39</v>
      </c>
      <c r="H422" t="s">
        <v>1512</v>
      </c>
      <c r="I422" t="s">
        <v>405</v>
      </c>
      <c r="J422">
        <v>33012</v>
      </c>
      <c r="K422" t="s">
        <v>406</v>
      </c>
      <c r="L422" t="s">
        <v>623</v>
      </c>
      <c r="M422" t="s">
        <v>48</v>
      </c>
      <c r="N422" t="s">
        <v>49</v>
      </c>
      <c r="O422" t="s">
        <v>624</v>
      </c>
      <c r="P422">
        <v>21</v>
      </c>
      <c r="Q422">
        <v>3</v>
      </c>
      <c r="R422">
        <v>0.2</v>
      </c>
      <c r="S422">
        <v>5.7750000000000021</v>
      </c>
    </row>
    <row r="423" spans="1:19" x14ac:dyDescent="0.25">
      <c r="A423" t="s">
        <v>1509</v>
      </c>
      <c r="B423" s="4">
        <v>44280</v>
      </c>
      <c r="C423" t="s">
        <v>35</v>
      </c>
      <c r="D423" t="s">
        <v>1510</v>
      </c>
      <c r="E423" t="s">
        <v>1511</v>
      </c>
      <c r="F423" t="s">
        <v>66</v>
      </c>
      <c r="G423" t="s">
        <v>39</v>
      </c>
      <c r="H423" t="s">
        <v>1512</v>
      </c>
      <c r="I423" t="s">
        <v>405</v>
      </c>
      <c r="J423">
        <v>33012</v>
      </c>
      <c r="K423" t="s">
        <v>406</v>
      </c>
      <c r="L423" t="s">
        <v>1513</v>
      </c>
      <c r="M423" t="s">
        <v>86</v>
      </c>
      <c r="N423" t="s">
        <v>823</v>
      </c>
      <c r="O423" t="s">
        <v>1514</v>
      </c>
      <c r="P423">
        <v>120</v>
      </c>
      <c r="Q423">
        <v>2</v>
      </c>
      <c r="R423">
        <v>0.5</v>
      </c>
      <c r="S423">
        <v>-7.2000000000000028</v>
      </c>
    </row>
    <row r="424" spans="1:19" x14ac:dyDescent="0.25">
      <c r="A424" t="s">
        <v>1515</v>
      </c>
      <c r="B424" s="4">
        <v>44257</v>
      </c>
      <c r="C424" t="s">
        <v>55</v>
      </c>
      <c r="D424" t="s">
        <v>1516</v>
      </c>
      <c r="E424" t="s">
        <v>1517</v>
      </c>
      <c r="F424" t="s">
        <v>38</v>
      </c>
      <c r="G424" t="s">
        <v>39</v>
      </c>
      <c r="H424" t="s">
        <v>1518</v>
      </c>
      <c r="I424" t="s">
        <v>119</v>
      </c>
      <c r="J424">
        <v>44107</v>
      </c>
      <c r="K424" t="s">
        <v>60</v>
      </c>
      <c r="L424" t="s">
        <v>1519</v>
      </c>
      <c r="M424" t="s">
        <v>44</v>
      </c>
      <c r="N424" t="s">
        <v>175</v>
      </c>
      <c r="O424" t="s">
        <v>1520</v>
      </c>
      <c r="P424">
        <v>19.728000000000002</v>
      </c>
      <c r="Q424">
        <v>9</v>
      </c>
      <c r="R424">
        <v>0.2</v>
      </c>
      <c r="S424">
        <v>1.7262000000000022</v>
      </c>
    </row>
    <row r="425" spans="1:19" x14ac:dyDescent="0.25">
      <c r="A425" t="s">
        <v>1515</v>
      </c>
      <c r="B425" s="4">
        <v>44257</v>
      </c>
      <c r="C425" t="s">
        <v>55</v>
      </c>
      <c r="D425" t="s">
        <v>1516</v>
      </c>
      <c r="E425" t="s">
        <v>1517</v>
      </c>
      <c r="F425" t="s">
        <v>38</v>
      </c>
      <c r="G425" t="s">
        <v>39</v>
      </c>
      <c r="H425" t="s">
        <v>1518</v>
      </c>
      <c r="I425" t="s">
        <v>119</v>
      </c>
      <c r="J425">
        <v>44107</v>
      </c>
      <c r="K425" t="s">
        <v>60</v>
      </c>
      <c r="L425" t="s">
        <v>1521</v>
      </c>
      <c r="M425" t="s">
        <v>86</v>
      </c>
      <c r="N425" t="s">
        <v>87</v>
      </c>
      <c r="O425" t="s">
        <v>1522</v>
      </c>
      <c r="P425">
        <v>151.18799999999999</v>
      </c>
      <c r="Q425">
        <v>2</v>
      </c>
      <c r="R425">
        <v>0.4</v>
      </c>
      <c r="S425">
        <v>-25.198000000000008</v>
      </c>
    </row>
    <row r="426" spans="1:19" x14ac:dyDescent="0.25">
      <c r="A426" t="s">
        <v>1523</v>
      </c>
      <c r="B426" s="4">
        <v>44271</v>
      </c>
      <c r="C426" t="s">
        <v>73</v>
      </c>
      <c r="D426" t="s">
        <v>778</v>
      </c>
      <c r="E426" t="s">
        <v>779</v>
      </c>
      <c r="F426" t="s">
        <v>38</v>
      </c>
      <c r="G426" t="s">
        <v>39</v>
      </c>
      <c r="H426" t="s">
        <v>1524</v>
      </c>
      <c r="I426" t="s">
        <v>83</v>
      </c>
      <c r="J426">
        <v>94086</v>
      </c>
      <c r="K426" t="s">
        <v>84</v>
      </c>
      <c r="L426" t="s">
        <v>1525</v>
      </c>
      <c r="M426" t="s">
        <v>44</v>
      </c>
      <c r="N426" t="s">
        <v>45</v>
      </c>
      <c r="O426" t="s">
        <v>1526</v>
      </c>
      <c r="P426">
        <v>5.9840000000000009</v>
      </c>
      <c r="Q426">
        <v>2</v>
      </c>
      <c r="R426">
        <v>0.2</v>
      </c>
      <c r="S426">
        <v>2.2439999999999998</v>
      </c>
    </row>
    <row r="427" spans="1:19" x14ac:dyDescent="0.25">
      <c r="A427" t="s">
        <v>1523</v>
      </c>
      <c r="B427" s="4">
        <v>44271</v>
      </c>
      <c r="C427" t="s">
        <v>73</v>
      </c>
      <c r="D427" t="s">
        <v>778</v>
      </c>
      <c r="E427" t="s">
        <v>779</v>
      </c>
      <c r="F427" t="s">
        <v>38</v>
      </c>
      <c r="G427" t="s">
        <v>39</v>
      </c>
      <c r="H427" t="s">
        <v>1524</v>
      </c>
      <c r="I427" t="s">
        <v>83</v>
      </c>
      <c r="J427">
        <v>94086</v>
      </c>
      <c r="K427" t="s">
        <v>84</v>
      </c>
      <c r="L427" t="s">
        <v>1527</v>
      </c>
      <c r="M427" t="s">
        <v>86</v>
      </c>
      <c r="N427" t="s">
        <v>109</v>
      </c>
      <c r="O427" t="s">
        <v>1528</v>
      </c>
      <c r="P427">
        <v>189.95000000000002</v>
      </c>
      <c r="Q427">
        <v>5</v>
      </c>
      <c r="R427">
        <v>0</v>
      </c>
      <c r="S427">
        <v>45.587999999999994</v>
      </c>
    </row>
    <row r="428" spans="1:19" x14ac:dyDescent="0.25">
      <c r="A428" t="s">
        <v>1523</v>
      </c>
      <c r="B428" s="4">
        <v>44271</v>
      </c>
      <c r="C428" t="s">
        <v>73</v>
      </c>
      <c r="D428" t="s">
        <v>778</v>
      </c>
      <c r="E428" t="s">
        <v>779</v>
      </c>
      <c r="F428" t="s">
        <v>38</v>
      </c>
      <c r="G428" t="s">
        <v>39</v>
      </c>
      <c r="H428" t="s">
        <v>1524</v>
      </c>
      <c r="I428" t="s">
        <v>83</v>
      </c>
      <c r="J428">
        <v>94086</v>
      </c>
      <c r="K428" t="s">
        <v>84</v>
      </c>
      <c r="L428" t="s">
        <v>1529</v>
      </c>
      <c r="M428" t="s">
        <v>86</v>
      </c>
      <c r="N428" t="s">
        <v>109</v>
      </c>
      <c r="O428" t="s">
        <v>1530</v>
      </c>
      <c r="P428">
        <v>149.94999999999999</v>
      </c>
      <c r="Q428">
        <v>5</v>
      </c>
      <c r="R428">
        <v>0</v>
      </c>
      <c r="S428">
        <v>31.489499999999992</v>
      </c>
    </row>
    <row r="429" spans="1:19" x14ac:dyDescent="0.25">
      <c r="A429" t="s">
        <v>1523</v>
      </c>
      <c r="B429" s="4">
        <v>44271</v>
      </c>
      <c r="C429" t="s">
        <v>73</v>
      </c>
      <c r="D429" t="s">
        <v>778</v>
      </c>
      <c r="E429" t="s">
        <v>779</v>
      </c>
      <c r="F429" t="s">
        <v>38</v>
      </c>
      <c r="G429" t="s">
        <v>39</v>
      </c>
      <c r="H429" t="s">
        <v>1524</v>
      </c>
      <c r="I429" t="s">
        <v>83</v>
      </c>
      <c r="J429">
        <v>94086</v>
      </c>
      <c r="K429" t="s">
        <v>84</v>
      </c>
      <c r="L429" t="s">
        <v>1531</v>
      </c>
      <c r="M429" t="s">
        <v>44</v>
      </c>
      <c r="N429" t="s">
        <v>175</v>
      </c>
      <c r="O429" t="s">
        <v>1532</v>
      </c>
      <c r="P429">
        <v>29.950000000000003</v>
      </c>
      <c r="Q429">
        <v>5</v>
      </c>
      <c r="R429">
        <v>0</v>
      </c>
      <c r="S429">
        <v>8.6854999999999993</v>
      </c>
    </row>
    <row r="430" spans="1:19" x14ac:dyDescent="0.25">
      <c r="A430" t="s">
        <v>1523</v>
      </c>
      <c r="B430" s="4">
        <v>44271</v>
      </c>
      <c r="C430" t="s">
        <v>73</v>
      </c>
      <c r="D430" t="s">
        <v>778</v>
      </c>
      <c r="E430" t="s">
        <v>779</v>
      </c>
      <c r="F430" t="s">
        <v>38</v>
      </c>
      <c r="G430" t="s">
        <v>39</v>
      </c>
      <c r="H430" t="s">
        <v>1524</v>
      </c>
      <c r="I430" t="s">
        <v>83</v>
      </c>
      <c r="J430">
        <v>94086</v>
      </c>
      <c r="K430" t="s">
        <v>84</v>
      </c>
      <c r="L430" t="s">
        <v>1533</v>
      </c>
      <c r="M430" t="s">
        <v>44</v>
      </c>
      <c r="N430" t="s">
        <v>160</v>
      </c>
      <c r="O430" t="s">
        <v>1534</v>
      </c>
      <c r="P430">
        <v>44.400000000000006</v>
      </c>
      <c r="Q430">
        <v>3</v>
      </c>
      <c r="R430">
        <v>0</v>
      </c>
      <c r="S430">
        <v>22.200000000000003</v>
      </c>
    </row>
    <row r="431" spans="1:19" x14ac:dyDescent="0.25">
      <c r="A431" t="s">
        <v>1535</v>
      </c>
      <c r="B431" s="4">
        <v>44259</v>
      </c>
      <c r="C431" t="s">
        <v>35</v>
      </c>
      <c r="D431" t="s">
        <v>1536</v>
      </c>
      <c r="E431" t="s">
        <v>1537</v>
      </c>
      <c r="F431" t="s">
        <v>38</v>
      </c>
      <c r="G431" t="s">
        <v>39</v>
      </c>
      <c r="H431" t="s">
        <v>323</v>
      </c>
      <c r="I431" t="s">
        <v>324</v>
      </c>
      <c r="J431">
        <v>19134</v>
      </c>
      <c r="K431" t="s">
        <v>60</v>
      </c>
      <c r="L431" t="s">
        <v>1538</v>
      </c>
      <c r="M431" t="s">
        <v>48</v>
      </c>
      <c r="N431" t="s">
        <v>49</v>
      </c>
      <c r="O431" t="s">
        <v>1539</v>
      </c>
      <c r="P431">
        <v>11.352000000000002</v>
      </c>
      <c r="Q431">
        <v>3</v>
      </c>
      <c r="R431">
        <v>0.2</v>
      </c>
      <c r="S431">
        <v>2.6961000000000008</v>
      </c>
    </row>
    <row r="432" spans="1:19" x14ac:dyDescent="0.25">
      <c r="A432" t="s">
        <v>1540</v>
      </c>
      <c r="B432" s="4">
        <v>44266</v>
      </c>
      <c r="C432" t="s">
        <v>73</v>
      </c>
      <c r="D432" t="s">
        <v>1541</v>
      </c>
      <c r="E432" t="s">
        <v>1542</v>
      </c>
      <c r="F432" t="s">
        <v>218</v>
      </c>
      <c r="G432" t="s">
        <v>39</v>
      </c>
      <c r="H432" t="s">
        <v>263</v>
      </c>
      <c r="I432" t="s">
        <v>264</v>
      </c>
      <c r="J432">
        <v>52601</v>
      </c>
      <c r="K432" t="s">
        <v>42</v>
      </c>
      <c r="L432" t="s">
        <v>1543</v>
      </c>
      <c r="M432" t="s">
        <v>44</v>
      </c>
      <c r="N432" t="s">
        <v>123</v>
      </c>
      <c r="O432" t="s">
        <v>1544</v>
      </c>
      <c r="P432">
        <v>7.28</v>
      </c>
      <c r="Q432">
        <v>1</v>
      </c>
      <c r="R432">
        <v>0</v>
      </c>
      <c r="S432">
        <v>3.4944000000000002</v>
      </c>
    </row>
    <row r="433" spans="1:19" x14ac:dyDescent="0.25">
      <c r="A433" t="s">
        <v>1540</v>
      </c>
      <c r="B433" s="4">
        <v>44266</v>
      </c>
      <c r="C433" t="s">
        <v>73</v>
      </c>
      <c r="D433" t="s">
        <v>1541</v>
      </c>
      <c r="E433" t="s">
        <v>1542</v>
      </c>
      <c r="F433" t="s">
        <v>218</v>
      </c>
      <c r="G433" t="s">
        <v>39</v>
      </c>
      <c r="H433" t="s">
        <v>263</v>
      </c>
      <c r="I433" t="s">
        <v>264</v>
      </c>
      <c r="J433">
        <v>52601</v>
      </c>
      <c r="K433" t="s">
        <v>42</v>
      </c>
      <c r="L433" t="s">
        <v>1545</v>
      </c>
      <c r="M433" t="s">
        <v>44</v>
      </c>
      <c r="N433" t="s">
        <v>45</v>
      </c>
      <c r="O433" t="s">
        <v>1546</v>
      </c>
      <c r="P433">
        <v>5.4</v>
      </c>
      <c r="Q433">
        <v>3</v>
      </c>
      <c r="R433">
        <v>0</v>
      </c>
      <c r="S433">
        <v>2.5920000000000001</v>
      </c>
    </row>
    <row r="434" spans="1:19" x14ac:dyDescent="0.25">
      <c r="A434" t="s">
        <v>1547</v>
      </c>
      <c r="B434" s="4">
        <v>44256</v>
      </c>
      <c r="C434" t="s">
        <v>55</v>
      </c>
      <c r="D434" t="s">
        <v>1548</v>
      </c>
      <c r="E434" t="s">
        <v>1549</v>
      </c>
      <c r="F434" t="s">
        <v>66</v>
      </c>
      <c r="G434" t="s">
        <v>39</v>
      </c>
      <c r="H434" t="s">
        <v>323</v>
      </c>
      <c r="I434" t="s">
        <v>324</v>
      </c>
      <c r="J434">
        <v>19140</v>
      </c>
      <c r="K434" t="s">
        <v>60</v>
      </c>
      <c r="L434" t="s">
        <v>1550</v>
      </c>
      <c r="M434" t="s">
        <v>44</v>
      </c>
      <c r="N434" t="s">
        <v>160</v>
      </c>
      <c r="O434" t="s">
        <v>1551</v>
      </c>
      <c r="P434">
        <v>15.936000000000002</v>
      </c>
      <c r="Q434">
        <v>4</v>
      </c>
      <c r="R434">
        <v>0.2</v>
      </c>
      <c r="S434">
        <v>5.1791999999999998</v>
      </c>
    </row>
    <row r="435" spans="1:19" x14ac:dyDescent="0.25">
      <c r="A435" t="s">
        <v>1547</v>
      </c>
      <c r="B435" s="4">
        <v>44256</v>
      </c>
      <c r="C435" t="s">
        <v>55</v>
      </c>
      <c r="D435" t="s">
        <v>1548</v>
      </c>
      <c r="E435" t="s">
        <v>1549</v>
      </c>
      <c r="F435" t="s">
        <v>66</v>
      </c>
      <c r="G435" t="s">
        <v>39</v>
      </c>
      <c r="H435" t="s">
        <v>323</v>
      </c>
      <c r="I435" t="s">
        <v>324</v>
      </c>
      <c r="J435">
        <v>19140</v>
      </c>
      <c r="K435" t="s">
        <v>60</v>
      </c>
      <c r="L435" t="s">
        <v>1552</v>
      </c>
      <c r="M435" t="s">
        <v>44</v>
      </c>
      <c r="N435" t="s">
        <v>45</v>
      </c>
      <c r="O435" t="s">
        <v>1553</v>
      </c>
      <c r="P435">
        <v>8.0010000000000012</v>
      </c>
      <c r="Q435">
        <v>7</v>
      </c>
      <c r="R435">
        <v>0.7</v>
      </c>
      <c r="S435">
        <v>-5.6006999999999962</v>
      </c>
    </row>
    <row r="436" spans="1:19" x14ac:dyDescent="0.25">
      <c r="A436" t="s">
        <v>1547</v>
      </c>
      <c r="B436" s="4">
        <v>44256</v>
      </c>
      <c r="C436" t="s">
        <v>55</v>
      </c>
      <c r="D436" t="s">
        <v>1548</v>
      </c>
      <c r="E436" t="s">
        <v>1549</v>
      </c>
      <c r="F436" t="s">
        <v>66</v>
      </c>
      <c r="G436" t="s">
        <v>39</v>
      </c>
      <c r="H436" t="s">
        <v>323</v>
      </c>
      <c r="I436" t="s">
        <v>324</v>
      </c>
      <c r="J436">
        <v>19140</v>
      </c>
      <c r="K436" t="s">
        <v>60</v>
      </c>
      <c r="L436" t="s">
        <v>1554</v>
      </c>
      <c r="M436" t="s">
        <v>48</v>
      </c>
      <c r="N436" t="s">
        <v>168</v>
      </c>
      <c r="O436" t="s">
        <v>1555</v>
      </c>
      <c r="P436">
        <v>398.97199999999998</v>
      </c>
      <c r="Q436">
        <v>2</v>
      </c>
      <c r="R436">
        <v>0.3</v>
      </c>
      <c r="S436">
        <v>-28.49799999999999</v>
      </c>
    </row>
    <row r="437" spans="1:19" x14ac:dyDescent="0.25">
      <c r="A437" t="s">
        <v>1556</v>
      </c>
      <c r="B437" s="4">
        <v>44280</v>
      </c>
      <c r="C437" t="s">
        <v>55</v>
      </c>
      <c r="D437" t="s">
        <v>244</v>
      </c>
      <c r="E437" t="s">
        <v>245</v>
      </c>
      <c r="F437" t="s">
        <v>66</v>
      </c>
      <c r="G437" t="s">
        <v>39</v>
      </c>
      <c r="H437" t="s">
        <v>1557</v>
      </c>
      <c r="I437" t="s">
        <v>431</v>
      </c>
      <c r="J437">
        <v>7017</v>
      </c>
      <c r="K437" t="s">
        <v>60</v>
      </c>
      <c r="L437" t="s">
        <v>1558</v>
      </c>
      <c r="M437" t="s">
        <v>86</v>
      </c>
      <c r="N437" t="s">
        <v>109</v>
      </c>
      <c r="O437" t="s">
        <v>1559</v>
      </c>
      <c r="P437">
        <v>31.799999999999997</v>
      </c>
      <c r="Q437">
        <v>3</v>
      </c>
      <c r="R437">
        <v>0</v>
      </c>
      <c r="S437">
        <v>13.674000000000003</v>
      </c>
    </row>
    <row r="438" spans="1:19" x14ac:dyDescent="0.25">
      <c r="A438" t="s">
        <v>1560</v>
      </c>
      <c r="B438" s="4">
        <v>44272</v>
      </c>
      <c r="C438" t="s">
        <v>55</v>
      </c>
      <c r="D438" t="s">
        <v>1471</v>
      </c>
      <c r="E438" t="s">
        <v>1472</v>
      </c>
      <c r="F438" t="s">
        <v>38</v>
      </c>
      <c r="G438" t="s">
        <v>39</v>
      </c>
      <c r="H438" t="s">
        <v>1561</v>
      </c>
      <c r="I438" t="s">
        <v>1038</v>
      </c>
      <c r="J438">
        <v>54703</v>
      </c>
      <c r="K438" t="s">
        <v>42</v>
      </c>
      <c r="L438" t="s">
        <v>1562</v>
      </c>
      <c r="M438" t="s">
        <v>44</v>
      </c>
      <c r="N438" t="s">
        <v>52</v>
      </c>
      <c r="O438" t="s">
        <v>1563</v>
      </c>
      <c r="P438">
        <v>32.56</v>
      </c>
      <c r="Q438">
        <v>2</v>
      </c>
      <c r="R438">
        <v>0</v>
      </c>
      <c r="S438">
        <v>8.465600000000002</v>
      </c>
    </row>
    <row r="439" spans="1:19" x14ac:dyDescent="0.25">
      <c r="A439" t="s">
        <v>1564</v>
      </c>
      <c r="B439" s="4">
        <v>44265</v>
      </c>
      <c r="C439" t="s">
        <v>35</v>
      </c>
      <c r="D439" t="s">
        <v>1565</v>
      </c>
      <c r="E439" t="s">
        <v>1566</v>
      </c>
      <c r="F439" t="s">
        <v>66</v>
      </c>
      <c r="G439" t="s">
        <v>39</v>
      </c>
      <c r="H439" t="s">
        <v>323</v>
      </c>
      <c r="I439" t="s">
        <v>324</v>
      </c>
      <c r="J439">
        <v>19143</v>
      </c>
      <c r="K439" t="s">
        <v>60</v>
      </c>
      <c r="L439" t="s">
        <v>1567</v>
      </c>
      <c r="M439" t="s">
        <v>44</v>
      </c>
      <c r="N439" t="s">
        <v>45</v>
      </c>
      <c r="O439" t="s">
        <v>1568</v>
      </c>
      <c r="P439">
        <v>3.2730000000000006</v>
      </c>
      <c r="Q439">
        <v>1</v>
      </c>
      <c r="R439">
        <v>0.7</v>
      </c>
      <c r="S439">
        <v>-2.5092999999999996</v>
      </c>
    </row>
    <row r="440" spans="1:19" x14ac:dyDescent="0.25">
      <c r="A440" t="s">
        <v>1564</v>
      </c>
      <c r="B440" s="4">
        <v>44265</v>
      </c>
      <c r="C440" t="s">
        <v>35</v>
      </c>
      <c r="D440" t="s">
        <v>1565</v>
      </c>
      <c r="E440" t="s">
        <v>1566</v>
      </c>
      <c r="F440" t="s">
        <v>66</v>
      </c>
      <c r="G440" t="s">
        <v>39</v>
      </c>
      <c r="H440" t="s">
        <v>323</v>
      </c>
      <c r="I440" t="s">
        <v>324</v>
      </c>
      <c r="J440">
        <v>19143</v>
      </c>
      <c r="K440" t="s">
        <v>60</v>
      </c>
      <c r="L440" t="s">
        <v>1569</v>
      </c>
      <c r="M440" t="s">
        <v>48</v>
      </c>
      <c r="N440" t="s">
        <v>49</v>
      </c>
      <c r="O440" t="s">
        <v>1570</v>
      </c>
      <c r="P440">
        <v>87.92</v>
      </c>
      <c r="Q440">
        <v>5</v>
      </c>
      <c r="R440">
        <v>0.2</v>
      </c>
      <c r="S440">
        <v>15.385999999999999</v>
      </c>
    </row>
    <row r="441" spans="1:19" x14ac:dyDescent="0.25">
      <c r="A441" t="s">
        <v>1571</v>
      </c>
      <c r="B441" s="4">
        <v>44266</v>
      </c>
      <c r="C441" t="s">
        <v>35</v>
      </c>
      <c r="D441" t="s">
        <v>1572</v>
      </c>
      <c r="E441" t="s">
        <v>1573</v>
      </c>
      <c r="F441" t="s">
        <v>38</v>
      </c>
      <c r="G441" t="s">
        <v>39</v>
      </c>
      <c r="H441" t="s">
        <v>430</v>
      </c>
      <c r="I441" t="s">
        <v>431</v>
      </c>
      <c r="J441">
        <v>7501</v>
      </c>
      <c r="K441" t="s">
        <v>60</v>
      </c>
      <c r="L441" t="s">
        <v>1574</v>
      </c>
      <c r="M441" t="s">
        <v>44</v>
      </c>
      <c r="N441" t="s">
        <v>101</v>
      </c>
      <c r="O441" t="s">
        <v>1575</v>
      </c>
      <c r="P441">
        <v>6.5400000000000009</v>
      </c>
      <c r="Q441">
        <v>3</v>
      </c>
      <c r="R441">
        <v>0</v>
      </c>
      <c r="S441">
        <v>2.1581999999999999</v>
      </c>
    </row>
    <row r="442" spans="1:19" x14ac:dyDescent="0.25">
      <c r="A442" t="s">
        <v>1576</v>
      </c>
      <c r="B442" s="4">
        <v>44260</v>
      </c>
      <c r="C442" t="s">
        <v>35</v>
      </c>
      <c r="D442" t="s">
        <v>1577</v>
      </c>
      <c r="E442" t="s">
        <v>1578</v>
      </c>
      <c r="F442" t="s">
        <v>218</v>
      </c>
      <c r="G442" t="s">
        <v>39</v>
      </c>
      <c r="H442" t="s">
        <v>531</v>
      </c>
      <c r="I442" t="s">
        <v>532</v>
      </c>
      <c r="J442">
        <v>98115</v>
      </c>
      <c r="K442" t="s">
        <v>84</v>
      </c>
      <c r="L442" t="s">
        <v>538</v>
      </c>
      <c r="M442" t="s">
        <v>44</v>
      </c>
      <c r="N442" t="s">
        <v>45</v>
      </c>
      <c r="O442" t="s">
        <v>539</v>
      </c>
      <c r="P442">
        <v>83.920000000000016</v>
      </c>
      <c r="Q442">
        <v>5</v>
      </c>
      <c r="R442">
        <v>0.2</v>
      </c>
      <c r="S442">
        <v>29.371999999999993</v>
      </c>
    </row>
    <row r="443" spans="1:19" x14ac:dyDescent="0.25">
      <c r="A443" t="s">
        <v>1576</v>
      </c>
      <c r="B443" s="4">
        <v>44260</v>
      </c>
      <c r="C443" t="s">
        <v>35</v>
      </c>
      <c r="D443" t="s">
        <v>1577</v>
      </c>
      <c r="E443" t="s">
        <v>1578</v>
      </c>
      <c r="F443" t="s">
        <v>218</v>
      </c>
      <c r="G443" t="s">
        <v>39</v>
      </c>
      <c r="H443" t="s">
        <v>531</v>
      </c>
      <c r="I443" t="s">
        <v>532</v>
      </c>
      <c r="J443">
        <v>98115</v>
      </c>
      <c r="K443" t="s">
        <v>84</v>
      </c>
      <c r="L443" t="s">
        <v>1579</v>
      </c>
      <c r="M443" t="s">
        <v>48</v>
      </c>
      <c r="N443" t="s">
        <v>49</v>
      </c>
      <c r="O443" t="s">
        <v>1580</v>
      </c>
      <c r="P443">
        <v>199.89999999999998</v>
      </c>
      <c r="Q443">
        <v>5</v>
      </c>
      <c r="R443">
        <v>0</v>
      </c>
      <c r="S443">
        <v>39.97999999999999</v>
      </c>
    </row>
    <row r="444" spans="1:19" x14ac:dyDescent="0.25">
      <c r="A444" t="s">
        <v>1576</v>
      </c>
      <c r="B444" s="4">
        <v>44260</v>
      </c>
      <c r="C444" t="s">
        <v>35</v>
      </c>
      <c r="D444" t="s">
        <v>1577</v>
      </c>
      <c r="E444" t="s">
        <v>1578</v>
      </c>
      <c r="F444" t="s">
        <v>218</v>
      </c>
      <c r="G444" t="s">
        <v>39</v>
      </c>
      <c r="H444" t="s">
        <v>531</v>
      </c>
      <c r="I444" t="s">
        <v>532</v>
      </c>
      <c r="J444">
        <v>98115</v>
      </c>
      <c r="K444" t="s">
        <v>84</v>
      </c>
      <c r="L444" t="s">
        <v>753</v>
      </c>
      <c r="M444" t="s">
        <v>86</v>
      </c>
      <c r="N444" t="s">
        <v>87</v>
      </c>
      <c r="O444" t="s">
        <v>754</v>
      </c>
      <c r="P444">
        <v>31.176000000000002</v>
      </c>
      <c r="Q444">
        <v>3</v>
      </c>
      <c r="R444">
        <v>0.2</v>
      </c>
      <c r="S444">
        <v>-7.0145999999999997</v>
      </c>
    </row>
    <row r="445" spans="1:19" x14ac:dyDescent="0.25">
      <c r="A445" t="s">
        <v>1576</v>
      </c>
      <c r="B445" s="4">
        <v>44260</v>
      </c>
      <c r="C445" t="s">
        <v>35</v>
      </c>
      <c r="D445" t="s">
        <v>1577</v>
      </c>
      <c r="E445" t="s">
        <v>1578</v>
      </c>
      <c r="F445" t="s">
        <v>218</v>
      </c>
      <c r="G445" t="s">
        <v>39</v>
      </c>
      <c r="H445" t="s">
        <v>531</v>
      </c>
      <c r="I445" t="s">
        <v>532</v>
      </c>
      <c r="J445">
        <v>98115</v>
      </c>
      <c r="K445" t="s">
        <v>84</v>
      </c>
      <c r="L445" t="s">
        <v>1581</v>
      </c>
      <c r="M445" t="s">
        <v>44</v>
      </c>
      <c r="N445" t="s">
        <v>45</v>
      </c>
      <c r="O445" t="s">
        <v>1582</v>
      </c>
      <c r="P445">
        <v>172.75200000000001</v>
      </c>
      <c r="Q445">
        <v>6</v>
      </c>
      <c r="R445">
        <v>0.2</v>
      </c>
      <c r="S445">
        <v>60.463200000000015</v>
      </c>
    </row>
    <row r="446" spans="1:19" x14ac:dyDescent="0.25">
      <c r="A446" t="s">
        <v>1576</v>
      </c>
      <c r="B446" s="4">
        <v>44260</v>
      </c>
      <c r="C446" t="s">
        <v>35</v>
      </c>
      <c r="D446" t="s">
        <v>1577</v>
      </c>
      <c r="E446" t="s">
        <v>1578</v>
      </c>
      <c r="F446" t="s">
        <v>218</v>
      </c>
      <c r="G446" t="s">
        <v>39</v>
      </c>
      <c r="H446" t="s">
        <v>531</v>
      </c>
      <c r="I446" t="s">
        <v>532</v>
      </c>
      <c r="J446">
        <v>98115</v>
      </c>
      <c r="K446" t="s">
        <v>84</v>
      </c>
      <c r="L446" t="s">
        <v>1583</v>
      </c>
      <c r="M446" t="s">
        <v>44</v>
      </c>
      <c r="N446" t="s">
        <v>45</v>
      </c>
      <c r="O446" t="s">
        <v>1584</v>
      </c>
      <c r="P446">
        <v>9.2959999999999994</v>
      </c>
      <c r="Q446">
        <v>2</v>
      </c>
      <c r="R446">
        <v>0.2</v>
      </c>
      <c r="S446">
        <v>3.0211999999999994</v>
      </c>
    </row>
    <row r="447" spans="1:19" x14ac:dyDescent="0.25">
      <c r="A447" t="s">
        <v>1585</v>
      </c>
      <c r="B447" s="4">
        <v>44260</v>
      </c>
      <c r="C447" t="s">
        <v>73</v>
      </c>
      <c r="D447" t="s">
        <v>1586</v>
      </c>
      <c r="E447" t="s">
        <v>1587</v>
      </c>
      <c r="F447" t="s">
        <v>66</v>
      </c>
      <c r="G447" t="s">
        <v>39</v>
      </c>
      <c r="H447" t="s">
        <v>58</v>
      </c>
      <c r="I447" t="s">
        <v>59</v>
      </c>
      <c r="J447">
        <v>10024</v>
      </c>
      <c r="K447" t="s">
        <v>60</v>
      </c>
      <c r="L447" t="s">
        <v>1588</v>
      </c>
      <c r="M447" t="s">
        <v>44</v>
      </c>
      <c r="N447" t="s">
        <v>152</v>
      </c>
      <c r="O447" t="s">
        <v>1589</v>
      </c>
      <c r="P447">
        <v>21.6</v>
      </c>
      <c r="Q447">
        <v>6</v>
      </c>
      <c r="R447">
        <v>0</v>
      </c>
      <c r="S447">
        <v>9.9359999999999999</v>
      </c>
    </row>
    <row r="448" spans="1:19" x14ac:dyDescent="0.25">
      <c r="A448" t="s">
        <v>1585</v>
      </c>
      <c r="B448" s="4">
        <v>44260</v>
      </c>
      <c r="C448" t="s">
        <v>73</v>
      </c>
      <c r="D448" t="s">
        <v>1586</v>
      </c>
      <c r="E448" t="s">
        <v>1587</v>
      </c>
      <c r="F448" t="s">
        <v>66</v>
      </c>
      <c r="G448" t="s">
        <v>39</v>
      </c>
      <c r="H448" t="s">
        <v>58</v>
      </c>
      <c r="I448" t="s">
        <v>59</v>
      </c>
      <c r="J448">
        <v>10024</v>
      </c>
      <c r="K448" t="s">
        <v>60</v>
      </c>
      <c r="L448" t="s">
        <v>1590</v>
      </c>
      <c r="M448" t="s">
        <v>44</v>
      </c>
      <c r="N448" t="s">
        <v>160</v>
      </c>
      <c r="O448" t="s">
        <v>1591</v>
      </c>
      <c r="P448">
        <v>11.07</v>
      </c>
      <c r="Q448">
        <v>3</v>
      </c>
      <c r="R448">
        <v>0</v>
      </c>
      <c r="S448">
        <v>5.2028999999999996</v>
      </c>
    </row>
    <row r="449" spans="1:19" x14ac:dyDescent="0.25">
      <c r="A449" t="s">
        <v>1592</v>
      </c>
      <c r="B449" s="4">
        <v>44268</v>
      </c>
      <c r="C449" t="s">
        <v>55</v>
      </c>
      <c r="D449" t="s">
        <v>616</v>
      </c>
      <c r="E449" t="s">
        <v>617</v>
      </c>
      <c r="F449" t="s">
        <v>66</v>
      </c>
      <c r="G449" t="s">
        <v>39</v>
      </c>
      <c r="H449" t="s">
        <v>128</v>
      </c>
      <c r="I449" t="s">
        <v>83</v>
      </c>
      <c r="J449">
        <v>94122</v>
      </c>
      <c r="K449" t="s">
        <v>84</v>
      </c>
      <c r="L449" t="s">
        <v>1593</v>
      </c>
      <c r="M449" t="s">
        <v>44</v>
      </c>
      <c r="N449" t="s">
        <v>160</v>
      </c>
      <c r="O449" t="s">
        <v>1594</v>
      </c>
      <c r="P449">
        <v>8.64</v>
      </c>
      <c r="Q449">
        <v>3</v>
      </c>
      <c r="R449">
        <v>0</v>
      </c>
      <c r="S449">
        <v>4.2336</v>
      </c>
    </row>
    <row r="450" spans="1:19" x14ac:dyDescent="0.25">
      <c r="A450" t="s">
        <v>1592</v>
      </c>
      <c r="B450" s="4">
        <v>44268</v>
      </c>
      <c r="C450" t="s">
        <v>55</v>
      </c>
      <c r="D450" t="s">
        <v>616</v>
      </c>
      <c r="E450" t="s">
        <v>617</v>
      </c>
      <c r="F450" t="s">
        <v>66</v>
      </c>
      <c r="G450" t="s">
        <v>39</v>
      </c>
      <c r="H450" t="s">
        <v>128</v>
      </c>
      <c r="I450" t="s">
        <v>83</v>
      </c>
      <c r="J450">
        <v>94122</v>
      </c>
      <c r="K450" t="s">
        <v>84</v>
      </c>
      <c r="L450" t="s">
        <v>297</v>
      </c>
      <c r="M450" t="s">
        <v>44</v>
      </c>
      <c r="N450" t="s">
        <v>152</v>
      </c>
      <c r="O450" t="s">
        <v>298</v>
      </c>
      <c r="P450">
        <v>38.880000000000003</v>
      </c>
      <c r="Q450">
        <v>6</v>
      </c>
      <c r="R450">
        <v>0</v>
      </c>
      <c r="S450">
        <v>18.662400000000002</v>
      </c>
    </row>
    <row r="451" spans="1:19" x14ac:dyDescent="0.25">
      <c r="A451" t="s">
        <v>1592</v>
      </c>
      <c r="B451" s="4">
        <v>44268</v>
      </c>
      <c r="C451" t="s">
        <v>55</v>
      </c>
      <c r="D451" t="s">
        <v>616</v>
      </c>
      <c r="E451" t="s">
        <v>617</v>
      </c>
      <c r="F451" t="s">
        <v>66</v>
      </c>
      <c r="G451" t="s">
        <v>39</v>
      </c>
      <c r="H451" t="s">
        <v>128</v>
      </c>
      <c r="I451" t="s">
        <v>83</v>
      </c>
      <c r="J451">
        <v>94122</v>
      </c>
      <c r="K451" t="s">
        <v>84</v>
      </c>
      <c r="L451" t="s">
        <v>1430</v>
      </c>
      <c r="M451" t="s">
        <v>48</v>
      </c>
      <c r="N451" t="s">
        <v>49</v>
      </c>
      <c r="O451" t="s">
        <v>1595</v>
      </c>
      <c r="P451">
        <v>201.04</v>
      </c>
      <c r="Q451">
        <v>8</v>
      </c>
      <c r="R451">
        <v>0</v>
      </c>
      <c r="S451">
        <v>54.280799999999999</v>
      </c>
    </row>
    <row r="452" spans="1:19" x14ac:dyDescent="0.25">
      <c r="A452" t="s">
        <v>1592</v>
      </c>
      <c r="B452" s="4">
        <v>44268</v>
      </c>
      <c r="C452" t="s">
        <v>55</v>
      </c>
      <c r="D452" t="s">
        <v>616</v>
      </c>
      <c r="E452" t="s">
        <v>617</v>
      </c>
      <c r="F452" t="s">
        <v>66</v>
      </c>
      <c r="G452" t="s">
        <v>39</v>
      </c>
      <c r="H452" t="s">
        <v>128</v>
      </c>
      <c r="I452" t="s">
        <v>83</v>
      </c>
      <c r="J452">
        <v>94122</v>
      </c>
      <c r="K452" t="s">
        <v>84</v>
      </c>
      <c r="L452" t="s">
        <v>1596</v>
      </c>
      <c r="M452" t="s">
        <v>44</v>
      </c>
      <c r="N452" t="s">
        <v>152</v>
      </c>
      <c r="O452" t="s">
        <v>1597</v>
      </c>
      <c r="P452">
        <v>12.96</v>
      </c>
      <c r="Q452">
        <v>2</v>
      </c>
      <c r="R452">
        <v>0</v>
      </c>
      <c r="S452">
        <v>6.3504000000000005</v>
      </c>
    </row>
    <row r="453" spans="1:19" x14ac:dyDescent="0.25">
      <c r="A453" t="s">
        <v>1598</v>
      </c>
      <c r="B453" s="4">
        <v>44270</v>
      </c>
      <c r="C453" t="s">
        <v>55</v>
      </c>
      <c r="D453" t="s">
        <v>1599</v>
      </c>
      <c r="E453" t="s">
        <v>1600</v>
      </c>
      <c r="F453" t="s">
        <v>66</v>
      </c>
      <c r="G453" t="s">
        <v>39</v>
      </c>
      <c r="H453" t="s">
        <v>725</v>
      </c>
      <c r="I453" t="s">
        <v>83</v>
      </c>
      <c r="J453">
        <v>90301</v>
      </c>
      <c r="K453" t="s">
        <v>84</v>
      </c>
      <c r="L453" t="s">
        <v>1601</v>
      </c>
      <c r="M453" t="s">
        <v>44</v>
      </c>
      <c r="N453" t="s">
        <v>152</v>
      </c>
      <c r="O453" t="s">
        <v>1602</v>
      </c>
      <c r="P453">
        <v>22.830000000000002</v>
      </c>
      <c r="Q453">
        <v>3</v>
      </c>
      <c r="R453">
        <v>0</v>
      </c>
      <c r="S453">
        <v>10.7301</v>
      </c>
    </row>
    <row r="454" spans="1:19" x14ac:dyDescent="0.25">
      <c r="A454" t="s">
        <v>1598</v>
      </c>
      <c r="B454" s="4">
        <v>44270</v>
      </c>
      <c r="C454" t="s">
        <v>55</v>
      </c>
      <c r="D454" t="s">
        <v>1599</v>
      </c>
      <c r="E454" t="s">
        <v>1600</v>
      </c>
      <c r="F454" t="s">
        <v>66</v>
      </c>
      <c r="G454" t="s">
        <v>39</v>
      </c>
      <c r="H454" t="s">
        <v>725</v>
      </c>
      <c r="I454" t="s">
        <v>83</v>
      </c>
      <c r="J454">
        <v>90301</v>
      </c>
      <c r="K454" t="s">
        <v>84</v>
      </c>
      <c r="L454" t="s">
        <v>1603</v>
      </c>
      <c r="M454" t="s">
        <v>44</v>
      </c>
      <c r="N454" t="s">
        <v>70</v>
      </c>
      <c r="O454" t="s">
        <v>1604</v>
      </c>
      <c r="P454">
        <v>54.32</v>
      </c>
      <c r="Q454">
        <v>4</v>
      </c>
      <c r="R454">
        <v>0</v>
      </c>
      <c r="S454">
        <v>16.295999999999999</v>
      </c>
    </row>
    <row r="455" spans="1:19" x14ac:dyDescent="0.25">
      <c r="A455" t="s">
        <v>1598</v>
      </c>
      <c r="B455" s="4">
        <v>44270</v>
      </c>
      <c r="C455" t="s">
        <v>55</v>
      </c>
      <c r="D455" t="s">
        <v>1599</v>
      </c>
      <c r="E455" t="s">
        <v>1600</v>
      </c>
      <c r="F455" t="s">
        <v>66</v>
      </c>
      <c r="G455" t="s">
        <v>39</v>
      </c>
      <c r="H455" t="s">
        <v>725</v>
      </c>
      <c r="I455" t="s">
        <v>83</v>
      </c>
      <c r="J455">
        <v>90301</v>
      </c>
      <c r="K455" t="s">
        <v>84</v>
      </c>
      <c r="L455" t="s">
        <v>1605</v>
      </c>
      <c r="M455" t="s">
        <v>86</v>
      </c>
      <c r="N455" t="s">
        <v>87</v>
      </c>
      <c r="O455" t="s">
        <v>1606</v>
      </c>
      <c r="P455">
        <v>196.77600000000001</v>
      </c>
      <c r="Q455">
        <v>3</v>
      </c>
      <c r="R455">
        <v>0.2</v>
      </c>
      <c r="S455">
        <v>14.758199999999995</v>
      </c>
    </row>
    <row r="456" spans="1:19" x14ac:dyDescent="0.25">
      <c r="A456" t="s">
        <v>1607</v>
      </c>
      <c r="B456" s="4">
        <v>44257</v>
      </c>
      <c r="C456" t="s">
        <v>35</v>
      </c>
      <c r="D456" t="s">
        <v>1608</v>
      </c>
      <c r="E456" t="s">
        <v>1609</v>
      </c>
      <c r="F456" t="s">
        <v>66</v>
      </c>
      <c r="G456" t="s">
        <v>39</v>
      </c>
      <c r="H456" t="s">
        <v>1610</v>
      </c>
      <c r="I456" t="s">
        <v>1053</v>
      </c>
      <c r="J456">
        <v>1852</v>
      </c>
      <c r="K456" t="s">
        <v>60</v>
      </c>
      <c r="L456" t="s">
        <v>1611</v>
      </c>
      <c r="M456" t="s">
        <v>44</v>
      </c>
      <c r="N456" t="s">
        <v>70</v>
      </c>
      <c r="O456" t="s">
        <v>1612</v>
      </c>
      <c r="P456">
        <v>286.85999999999996</v>
      </c>
      <c r="Q456">
        <v>7</v>
      </c>
      <c r="R456">
        <v>0</v>
      </c>
      <c r="S456">
        <v>80.320799999999991</v>
      </c>
    </row>
    <row r="457" spans="1:19" x14ac:dyDescent="0.25">
      <c r="A457" t="s">
        <v>1607</v>
      </c>
      <c r="B457" s="4">
        <v>44257</v>
      </c>
      <c r="C457" t="s">
        <v>35</v>
      </c>
      <c r="D457" t="s">
        <v>1608</v>
      </c>
      <c r="E457" t="s">
        <v>1609</v>
      </c>
      <c r="F457" t="s">
        <v>66</v>
      </c>
      <c r="G457" t="s">
        <v>39</v>
      </c>
      <c r="H457" t="s">
        <v>1610</v>
      </c>
      <c r="I457" t="s">
        <v>1053</v>
      </c>
      <c r="J457">
        <v>1852</v>
      </c>
      <c r="K457" t="s">
        <v>60</v>
      </c>
      <c r="L457" t="s">
        <v>200</v>
      </c>
      <c r="M457" t="s">
        <v>86</v>
      </c>
      <c r="N457" t="s">
        <v>87</v>
      </c>
      <c r="O457" t="s">
        <v>201</v>
      </c>
      <c r="P457">
        <v>979.95</v>
      </c>
      <c r="Q457">
        <v>5</v>
      </c>
      <c r="R457">
        <v>0</v>
      </c>
      <c r="S457">
        <v>284.18549999999993</v>
      </c>
    </row>
    <row r="458" spans="1:19" x14ac:dyDescent="0.25">
      <c r="A458" t="s">
        <v>1607</v>
      </c>
      <c r="B458" s="4">
        <v>44257</v>
      </c>
      <c r="C458" t="s">
        <v>35</v>
      </c>
      <c r="D458" t="s">
        <v>1608</v>
      </c>
      <c r="E458" t="s">
        <v>1609</v>
      </c>
      <c r="F458" t="s">
        <v>66</v>
      </c>
      <c r="G458" t="s">
        <v>39</v>
      </c>
      <c r="H458" t="s">
        <v>1610</v>
      </c>
      <c r="I458" t="s">
        <v>1053</v>
      </c>
      <c r="J458">
        <v>1852</v>
      </c>
      <c r="K458" t="s">
        <v>60</v>
      </c>
      <c r="L458" t="s">
        <v>1613</v>
      </c>
      <c r="M458" t="s">
        <v>44</v>
      </c>
      <c r="N458" t="s">
        <v>435</v>
      </c>
      <c r="O458" t="s">
        <v>1396</v>
      </c>
      <c r="P458">
        <v>4.3600000000000003</v>
      </c>
      <c r="Q458">
        <v>2</v>
      </c>
      <c r="R458">
        <v>0</v>
      </c>
      <c r="S458">
        <v>0.17439999999999944</v>
      </c>
    </row>
    <row r="459" spans="1:19" x14ac:dyDescent="0.25">
      <c r="A459" t="s">
        <v>1614</v>
      </c>
      <c r="B459" s="4">
        <v>44264</v>
      </c>
      <c r="C459" t="s">
        <v>55</v>
      </c>
      <c r="D459" t="s">
        <v>1615</v>
      </c>
      <c r="E459" t="s">
        <v>1616</v>
      </c>
      <c r="F459" t="s">
        <v>66</v>
      </c>
      <c r="G459" t="s">
        <v>39</v>
      </c>
      <c r="H459" t="s">
        <v>842</v>
      </c>
      <c r="I459" t="s">
        <v>93</v>
      </c>
      <c r="J459">
        <v>49505</v>
      </c>
      <c r="K459" t="s">
        <v>42</v>
      </c>
      <c r="L459" t="s">
        <v>1617</v>
      </c>
      <c r="M459" t="s">
        <v>44</v>
      </c>
      <c r="N459" t="s">
        <v>45</v>
      </c>
      <c r="O459" t="s">
        <v>1618</v>
      </c>
      <c r="P459">
        <v>54.900000000000006</v>
      </c>
      <c r="Q459">
        <v>5</v>
      </c>
      <c r="R459">
        <v>0</v>
      </c>
      <c r="S459">
        <v>26.901000000000003</v>
      </c>
    </row>
    <row r="460" spans="1:19" x14ac:dyDescent="0.25">
      <c r="A460" t="s">
        <v>1619</v>
      </c>
      <c r="B460" s="4">
        <v>44262</v>
      </c>
      <c r="C460" t="s">
        <v>55</v>
      </c>
      <c r="D460" t="s">
        <v>797</v>
      </c>
      <c r="E460" t="s">
        <v>798</v>
      </c>
      <c r="F460" t="s">
        <v>218</v>
      </c>
      <c r="G460" t="s">
        <v>39</v>
      </c>
      <c r="H460" t="s">
        <v>128</v>
      </c>
      <c r="I460" t="s">
        <v>83</v>
      </c>
      <c r="J460">
        <v>94122</v>
      </c>
      <c r="K460" t="s">
        <v>84</v>
      </c>
      <c r="L460" t="s">
        <v>1620</v>
      </c>
      <c r="M460" t="s">
        <v>44</v>
      </c>
      <c r="N460" t="s">
        <v>152</v>
      </c>
      <c r="O460" t="s">
        <v>1621</v>
      </c>
      <c r="P460">
        <v>50.04</v>
      </c>
      <c r="Q460">
        <v>6</v>
      </c>
      <c r="R460">
        <v>0</v>
      </c>
      <c r="S460">
        <v>25.02</v>
      </c>
    </row>
    <row r="461" spans="1:19" x14ac:dyDescent="0.25">
      <c r="A461" t="s">
        <v>1622</v>
      </c>
      <c r="B461" s="4">
        <v>44266</v>
      </c>
      <c r="C461" t="s">
        <v>55</v>
      </c>
      <c r="D461" t="s">
        <v>1623</v>
      </c>
      <c r="E461" t="s">
        <v>1624</v>
      </c>
      <c r="F461" t="s">
        <v>66</v>
      </c>
      <c r="G461" t="s">
        <v>39</v>
      </c>
      <c r="H461" t="s">
        <v>1625</v>
      </c>
      <c r="I461" t="s">
        <v>431</v>
      </c>
      <c r="J461">
        <v>7060</v>
      </c>
      <c r="K461" t="s">
        <v>60</v>
      </c>
      <c r="L461" t="s">
        <v>1464</v>
      </c>
      <c r="M461" t="s">
        <v>44</v>
      </c>
      <c r="N461" t="s">
        <v>45</v>
      </c>
      <c r="O461" t="s">
        <v>1465</v>
      </c>
      <c r="P461">
        <v>40.199999999999996</v>
      </c>
      <c r="Q461">
        <v>5</v>
      </c>
      <c r="R461">
        <v>0</v>
      </c>
      <c r="S461">
        <v>18.089999999999996</v>
      </c>
    </row>
    <row r="462" spans="1:19" x14ac:dyDescent="0.25">
      <c r="A462" t="s">
        <v>1622</v>
      </c>
      <c r="B462" s="4">
        <v>44266</v>
      </c>
      <c r="C462" t="s">
        <v>55</v>
      </c>
      <c r="D462" t="s">
        <v>1623</v>
      </c>
      <c r="E462" t="s">
        <v>1624</v>
      </c>
      <c r="F462" t="s">
        <v>66</v>
      </c>
      <c r="G462" t="s">
        <v>39</v>
      </c>
      <c r="H462" t="s">
        <v>1625</v>
      </c>
      <c r="I462" t="s">
        <v>431</v>
      </c>
      <c r="J462">
        <v>7060</v>
      </c>
      <c r="K462" t="s">
        <v>60</v>
      </c>
      <c r="L462" t="s">
        <v>1626</v>
      </c>
      <c r="M462" t="s">
        <v>44</v>
      </c>
      <c r="N462" t="s">
        <v>45</v>
      </c>
      <c r="O462" t="s">
        <v>1627</v>
      </c>
      <c r="P462">
        <v>735.98</v>
      </c>
      <c r="Q462">
        <v>2</v>
      </c>
      <c r="R462">
        <v>0</v>
      </c>
      <c r="S462">
        <v>331.19099999999997</v>
      </c>
    </row>
    <row r="463" spans="1:19" x14ac:dyDescent="0.25">
      <c r="A463" t="s">
        <v>1622</v>
      </c>
      <c r="B463" s="4">
        <v>44266</v>
      </c>
      <c r="C463" t="s">
        <v>55</v>
      </c>
      <c r="D463" t="s">
        <v>1623</v>
      </c>
      <c r="E463" t="s">
        <v>1624</v>
      </c>
      <c r="F463" t="s">
        <v>66</v>
      </c>
      <c r="G463" t="s">
        <v>39</v>
      </c>
      <c r="H463" t="s">
        <v>1625</v>
      </c>
      <c r="I463" t="s">
        <v>431</v>
      </c>
      <c r="J463">
        <v>7060</v>
      </c>
      <c r="K463" t="s">
        <v>60</v>
      </c>
      <c r="L463" t="s">
        <v>1628</v>
      </c>
      <c r="M463" t="s">
        <v>44</v>
      </c>
      <c r="N463" t="s">
        <v>70</v>
      </c>
      <c r="O463" t="s">
        <v>1629</v>
      </c>
      <c r="P463">
        <v>22.75</v>
      </c>
      <c r="Q463">
        <v>7</v>
      </c>
      <c r="R463">
        <v>0</v>
      </c>
      <c r="S463">
        <v>6.5974999999999993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4" sqref="B4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  <c r="B4" s="1" t="s">
        <v>1647</v>
      </c>
    </row>
    <row r="5" spans="1:2" x14ac:dyDescent="0.25">
      <c r="A5" s="1" t="s">
        <v>5</v>
      </c>
      <c r="B5" s="1" t="s">
        <v>1646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PANEL</vt:lpstr>
      <vt:lpstr>Top_Products</vt:lpstr>
      <vt:lpstr>Sales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mantenimiento</cp:lastModifiedBy>
  <dcterms:created xsi:type="dcterms:W3CDTF">2015-01-25T11:31:25Z</dcterms:created>
  <dcterms:modified xsi:type="dcterms:W3CDTF">2024-04-15T15:12:27Z</dcterms:modified>
  <cp:category/>
  <cp:contentStatus/>
</cp:coreProperties>
</file>